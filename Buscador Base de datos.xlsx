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8.xml"/>
  <Override ContentType="application/vnd.ms-excel.documenttasks+xml" PartName="/xl/documenttasks/documenttask2.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7.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ICIO" sheetId="1" r:id="rId5"/>
    <sheet state="visible" name="17025 SAL" sheetId="2" r:id="rId6"/>
    <sheet state="visible" name="17020 SAI" sheetId="3" r:id="rId7"/>
    <sheet state="visible" name="17043 PEA" sheetId="4" r:id="rId8"/>
    <sheet state="visible" name="15189 LM" sheetId="5" r:id="rId9"/>
    <sheet state="visible" name="17024 OCH" sheetId="6" r:id="rId10"/>
    <sheet state="visible" name="17065 OCP" sheetId="7" r:id="rId11"/>
    <sheet state="visible" name="17021 OCSG" sheetId="8" r:id="rId12"/>
    <sheet state="visible" name="17029 SAVV" sheetId="9" r:id="rId13"/>
    <sheet state="visible" name="Resumen Datos" sheetId="10" r:id="rId14"/>
  </sheets>
  <definedNames>
    <definedName localSheetId="1" name="_Hlk99048333">'17025 SAL'!$B$179</definedName>
    <definedName hidden="1" localSheetId="1" name="_xlnm._FilterDatabase">'17025 SAL'!$A$2:$AL$192</definedName>
    <definedName hidden="1" localSheetId="2" name="_xlnm._FilterDatabase">'17020 SAI'!$A$2:$AL$74</definedName>
    <definedName hidden="1" localSheetId="4" name="_xlnm._FilterDatabase">'15189 LM'!$A$2:$AL$16</definedName>
    <definedName hidden="1" localSheetId="6" name="_xlnm._FilterDatabase">'17065 OCP'!$A$2:$AL$21</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tc={0da2d123-adf3-4c03-83a4-78e6c4523aa5}</author>
    <author>tc={0e6f843f-6075-46b8-a8bf-42d85bc0d2a6}</author>
    <author>tc={0f124d84-d8d0-47bd-8624-ce4eb26306b4}</author>
    <author>tc={136d76e4-01be-403c-88b6-1731afd632b6}</author>
    <author>tc={17d2ede0-66a5-4339-9cac-b5afb274fb25}</author>
    <author>tc={34a37181-53f9-469b-b8ad-77dcf166cf8b}</author>
    <author>tc={36aad6d6-4225-42c8-b97b-b699c3c927f1}</author>
    <author>tc={3be1e914-f994-4d0b-beec-c66d2ec02a8c}</author>
    <author>tc={3beb5f92-833d-4aa9-8c5c-20dbffce59fa}</author>
    <author>tc={421458ef-0de2-4b1b-8352-9b92729357a7}</author>
    <author>tc={42e2d0e6-62a4-48b6-8e93-4d514e8963c6}</author>
    <author>tc={4ac327e4-27e6-4d4b-b860-9d193367dbdd}</author>
    <author>tc={5ff08626-6e38-4768-8ea8-d1db959ed817}</author>
    <author>tc={5ff25c21-2ebd-46f8-b473-4b2d43391d19}</author>
    <author>tc={803581af-08e0-41f4-9adf-d7ae65579e85}</author>
    <author>tc={80bea308-f6cd-4cb7-983b-8945162a4fd1}</author>
    <author>tc={82d91cc2-254f-4a44-9e70-79117b4983cd}</author>
    <author>tc={896a3323-70d4-4369-bd71-e92c48d1320d}</author>
    <author>tc={8a777001-3fe9-4b92-ab89-06bee3a0955f}</author>
    <author>tc={8c774140-31a4-4103-810b-4459deac09af}</author>
    <author>tc={8e6c63a4-95b4-46fc-94cb-d4e3f3153da8}</author>
    <author>tc={8e6f75b4-3e71-40f2-a415-c40e4bece7a9}</author>
    <author>tc={96344b86-9793-4536-8621-a86720d2bd61}</author>
    <author>tc={9b93205e-6012-45f7-afb7-b8ee97d1cd51}</author>
    <author>tc={b1f611d2-067e-4e2e-a549-f0686beb9ee5}</author>
    <author>tc={b2190ac2-dc61-45e5-beb0-0d74e001d942}</author>
    <author>tc={bad2e97f-f99f-47cf-912f-dd5188d1cf82}</author>
    <author>tc={c0959877-ac8c-46d1-b4a1-8268713404ba}</author>
    <author>tc={d31393aa-879f-44fe-8f2e-127866dd821e}</author>
    <author>tc={d580df53-60a8-4480-a509-e4ad7747ba3b}</author>
    <author>tc={dc3003b3-bf14-4193-afde-d0bd3f9db649}</author>
    <author>tc={e44e5640-f297-4f35-a1a4-b33e744a1100}</author>
    <author>tc={e7aa4909-4e6a-4ec5-ac1f-c65cd06f00f6}</author>
    <author>tc={fea723d5-bdbf-483f-a8be-5017215ad791}</author>
  </authors>
  <commentList>
    <comment authorId="0" xr:uid="{0da2d123-adf3-4c03-83a4-78e6c4523aa5}" ref="I115">
      <text>
        <t xml:space="preserve">[Threaded comment]
 Your version of Excel allows you to read this threaded comment; however, any edits to it will get removed if the file is opened in a newer version of Excel. Learn more: https://go.microsoft.com/fwlink/?linkid=870924
Comment:
	Se solicitó la información para la renovación de contrato.
</t>
      </text>
    </comment>
    <comment authorId="1" xr:uid="{0e6f843f-6075-46b8-a8bf-42d85bc0d2a6}" ref="M39">
      <text>
        <t xml:space="preserve">[Threaded comment]
 Your version of Excel allows you to read this threaded comment; however, any edits to it will get removed if the file is opened in a newer version of Excel. Learn more: https://go.microsoft.com/fwlink/?linkid=870924
Comment:
	Cambio representanteOEC
</t>
      </text>
    </comment>
    <comment authorId="2" xr:uid="{0f124d84-d8d0-47bd-8624-ce4eb26306b4}" ref="A80">
      <text>
        <t xml:space="preserve">[Threaded comment]
 Your version of Excel allows you to read this threaded comment; however, any edits to it will get removed if the file is opened in a newer version of Excel. Learn more: https://go.microsoft.com/fwlink/?linkid=870924
Comment:
	Aquí quede 24.08.2021
</t>
      </text>
    </comment>
    <comment authorId="3" xr:uid="{136d76e4-01be-403c-88b6-1731afd632b6}" ref="M8">
      <text>
        <t xml:space="preserve">[Threaded comment]
 Your version of Excel allows you to read this threaded comment; however, any edits to it will get removed if the file is opened in a newer version of Excel. Learn more: https://go.microsoft.com/fwlink/?linkid=870924
Comment:
	Reportaron este correo pero no sirve, se está a la espera de respuesta
</t>
      </text>
    </comment>
    <comment authorId="4" xr:uid="{17d2ede0-66a5-4339-9cac-b5afb274fb25}" ref="I5">
      <text>
        <t xml:space="preserve">[Threaded comment]
 Your version of Excel allows you to read this threaded comment; however, any edits to it will get removed if the file is opened in a newer version of Excel. Learn more: https://go.microsoft.com/fwlink/?linkid=870924
Comment:
	Actualizar ya e OEC firmó
</t>
      </text>
    </comment>
    <comment authorId="5" xr:uid="{34a37181-53f9-469b-b8ad-77dcf166cf8b}" ref="I138">
      <text>
        <t xml:space="preserve">[Threaded comment]
 Your version of Excel allows you to read this threaded comment; however, any edits to it will get removed if the file is opened in a newer version of Excel. Learn more: https://go.microsoft.com/fwlink/?linkid=870924
Comment:
	Se solicita la información correspondiente.
</t>
      </text>
    </comment>
    <comment authorId="6" xr:uid="{36aad6d6-4225-42c8-b97b-b699c3c927f1}" ref="N53">
      <text>
        <t xml:space="preserve">[Threaded comment]
 Your version of Excel allows you to read this threaded comment; however, any edits to it will get removed if the file is opened in a newer version of Excel. Learn more: https://go.microsoft.com/fwlink/?linkid=870924
Comment:
	se eliminan según referencia 07.julio.2021
samador@dospinos.com; acalderonm@dospinos.com
Se eliminan por solicitud en correo del 9/11/23: dmoya@dospinos.com; legal@dospinos.com
</t>
      </text>
    </comment>
    <comment authorId="7" xr:uid="{3be1e914-f994-4d0b-beec-c66d2ec02a8c}" ref="I111">
      <text>
        <t xml:space="preserve">[Threaded comment]
 Your version of Excel allows you to read this threaded comment; however, any edits to it will get removed if the file is opened in a newer version of Excel. Learn more: https://go.microsoft.com/fwlink/?linkid=870924
Comment:
	Se solicita los documentos para la renovación del coontrato.
</t>
      </text>
    </comment>
    <comment authorId="8" xr:uid="{3beb5f92-833d-4aa9-8c5c-20dbffce59fa}" ref="L154">
      <text>
        <t xml:space="preserve">[Threaded comment]
 Your version of Excel allows you to read this threaded comment; however, any edits to it will get removed if the file is opened in a newer version of Excel. Learn more: https://go.microsoft.com/fwlink/?linkid=870924
Comment:
	8360-3172
</t>
      </text>
    </comment>
    <comment authorId="9" xr:uid="{421458ef-0de2-4b1b-8352-9b92729357a7}" ref="I50">
      <text>
        <t xml:space="preserve">[Threaded comment]
 Your version of Excel allows you to read this threaded comment; however, any edits to it will get removed if the file is opened in a newer version of Excel. Learn more: https://go.microsoft.com/fwlink/?linkid=870924
Comment:
	13/12/23 se le envía recordatorio al OEC para envío de documentos
</t>
      </text>
    </comment>
    <comment authorId="10" xr:uid="{42e2d0e6-62a4-48b6-8e93-4d514e8963c6}" ref="N128">
      <text>
        <t xml:space="preserve">[Threaded comment]
 Your version of Excel allows you to read this threaded comment; however, any edits to it will get removed if the file is opened in a newer version of Excel. Learn more: https://go.microsoft.com/fwlink/?linkid=870924
Comment:
	31/05/2021
se ingresa por solicitud de Jennifer via correo como correo alternativo
</t>
      </text>
    </comment>
    <comment authorId="11" xr:uid="{4ac327e4-27e6-4d4b-b860-9d193367dbdd}" ref="H145">
      <text>
        <t xml:space="preserve">[Threaded comment]
 Your version of Excel allows you to read this threaded comment; however, any edits to it will get removed if the file is opened in a newer version of Excel. Learn more: https://go.microsoft.com/fwlink/?linkid=870924
Comment:
	Se renovó el contrato
</t>
      </text>
    </comment>
    <comment authorId="12" xr:uid="{5ff08626-6e38-4768-8ea8-d1db959ed817}" ref="I74">
      <text>
        <t xml:space="preserve">[Threaded comment]
 Your version of Excel allows you to read this threaded comment; however, any edits to it will get removed if the file is opened in a newer version of Excel. Learn more: https://go.microsoft.com/fwlink/?linkid=870924
Comment:
	13/12/23 Se le da seguimiento al OEC
</t>
      </text>
    </comment>
    <comment authorId="13" xr:uid="{5ff25c21-2ebd-46f8-b473-4b2d43391d19}" ref="I55">
      <text>
        <t xml:space="preserve">[Threaded comment]
 Your version of Excel allows you to read this threaded comment; however, any edits to it will get removed if the file is opened in a newer version of Excel. Learn more: https://go.microsoft.com/fwlink/?linkid=870924
Comment:
	Se solicita la información correspondiente para la actualización del contrato
</t>
      </text>
    </comment>
    <comment authorId="14" xr:uid="{803581af-08e0-41f4-9adf-d7ae65579e85}" ref="A2">
      <text>
        <t xml:space="preserve">[Threaded comment]
 Your version of Excel allows you to read this threaded comment; however, any edits to it will get removed if the file is opened in a newer version of Excel. Learn more: https://go.microsoft.com/fwlink/?linkid=870924
Comment:
	Nombre de fantasía 
Nombre del OEC para el certificado
</t>
      </text>
    </comment>
    <comment authorId="15" xr:uid="{80bea308-f6cd-4cb7-983b-8945162a4fd1}" ref="H2">
      <text>
        <t xml:space="preserve">[Threaded comment]
 Your version of Excel allows you to read this threaded comment; however, any edits to it will get removed if the file is opened in a newer version of Excel. Learn more: https://go.microsoft.com/fwlink/?linkid=870924
Comment:
	En proceso de actualización, por eso hay celdas sin datos
</t>
      </text>
    </comment>
    <comment authorId="16" xr:uid="{82d91cc2-254f-4a44-9e70-79117b4983cd}" ref="H100">
      <text>
        <t xml:space="preserve">[Threaded comment]
 Your version of Excel allows you to read this threaded comment; however, any edits to it will get removed if the file is opened in a newer version of Excel. Learn more: https://go.microsoft.com/fwlink/?linkid=870924
Comment:
	fecha de firma digital OEC, en contrato se indica fecha 21/7/20
</t>
      </text>
    </comment>
    <comment authorId="17" xr:uid="{896a3323-70d4-4369-bd71-e92c48d1320d}" ref="I121">
      <text>
        <t xml:space="preserve">[Threaded comment]
 Your version of Excel allows you to read this threaded comment; however, any edits to it will get removed if the file is opened in a newer version of Excel. Learn more: https://go.microsoft.com/fwlink/?linkid=870924
Comment:
	Se solicitó la informaicón para la renovación de contrato.
</t>
      </text>
    </comment>
    <comment authorId="18" xr:uid="{8a777001-3fe9-4b92-ab89-06bee3a0955f}" ref="V53">
      <text>
        <t xml:space="preserve">[Threaded comment]
 Your version of Excel allows you to read this threaded comment; however, any edits to it will get removed if the file is opened in a newer version of Excel. Learn more: https://go.microsoft.com/fwlink/?linkid=870924
Comment:
	se elimina 
Gonzalo Chavez Alvarado
</t>
      </text>
    </comment>
    <comment authorId="19" xr:uid="{8c774140-31a4-4103-810b-4459deac09af}" ref="L33">
      <text>
        <t xml:space="preserve">[Threaded comment]
 Your version of Excel allows you to read this threaded comment; however, any edits to it will get removed if the file is opened in a newer version of Excel. Learn more: https://go.microsoft.com/fwlink/?linkid=870924
Comment:
	Se actualiza el contacto, por petición del OEC 30-07-2024
</t>
      </text>
    </comment>
    <comment authorId="20" xr:uid="{8e6c63a4-95b4-46fc-94cb-d4e3f3153da8}" ref="M89">
      <text>
        <t xml:space="preserve">[Threaded comment]
 Your version of Excel allows you to read this threaded comment; however, any edits to it will get removed if the file is opened in a newer version of Excel. Learn more: https://go.microsoft.com/fwlink/?linkid=870924
Comment:
	16/6/23: SE desincribió de lista de difusión mailchimp
</t>
      </text>
    </comment>
    <comment authorId="21" xr:uid="{8e6f75b4-3e71-40f2-a415-c40e4bece7a9}" ref="AI76">
      <text>
        <t xml:space="preserve">[Threaded comment]
 Your version of Excel allows you to read this threaded comment; however, any edits to it will get removed if the file is opened in a newer version of Excel. Learn more: https://go.microsoft.com/fwlink/?linkid=870924
Comment:
	por indicaiones de María Herrera, remitir siempre los correos de facturación a estas dos drirecciones
</t>
      </text>
    </comment>
    <comment authorId="22" xr:uid="{96344b86-9793-4536-8621-a86720d2bd61}" ref="A6">
      <text>
        <t xml:space="preserve">[Threaded comment]
 Your version of Excel allows you to read this threaded comment; however, any edits to it will get removed if the file is opened in a newer version of Excel. Learn more: https://go.microsoft.com/fwlink/?linkid=870924
Comment:
	En actualización de datos indican nombre de fantasía: Prysmian Centroamérica &amp; Caribe
</t>
      </text>
    </comment>
    <comment authorId="23" xr:uid="{9b93205e-6012-45f7-afb7-b8ee97d1cd51}" ref="N28">
      <text>
        <t xml:space="preserve">[Threaded comment]
 Your version of Excel allows you to read this threaded comment; however, any edits to it will get removed if the file is opened in a newer version of Excel. Learn more: https://go.microsoft.com/fwlink/?linkid=870924
Comment:
	19.05.2021 
se elimina el correo NCalderonS@ice.go.cr  por solicitud de Glenda
</t>
      </text>
    </comment>
    <comment authorId="24" xr:uid="{b1f611d2-067e-4e2e-a549-f0686beb9ee5}" ref="I110">
      <text>
        <t xml:space="preserve">[Threaded comment]
 Your version of Excel allows you to read this threaded comment; however, any edits to it will get removed if the file is opened in a newer version of Excel. Learn more: https://go.microsoft.com/fwlink/?linkid=870924
Comment:
	Se solicita la información para la renovacion del contrato.
</t>
      </text>
    </comment>
    <comment authorId="25" xr:uid="{b2190ac2-dc61-45e5-beb0-0d74e001d942}" ref="T6">
      <text>
        <t xml:space="preserve">[Threaded comment]
 Your version of Excel allows you to read this threaded comment; however, any edits to it will get removed if the file is opened in a newer version of Excel. Learn more: https://go.microsoft.com/fwlink/?linkid=870924
Comment:
	Se tenía esta cédula: 3-101-0011928-28 pero no coincide con los datos del OEC
</t>
      </text>
    </comment>
    <comment authorId="26" xr:uid="{bad2e97f-f99f-47cf-912f-dd5188d1cf82}" ref="H177">
      <text>
        <t xml:space="preserve">[Threaded comment]
 Your version of Excel allows you to read this threaded comment; however, any edits to it will get removed if the file is opened in a newer version of Excel. Learn more: https://go.microsoft.com/fwlink/?linkid=870924
Comment:
	Este contrato es sólo para la visita preliminar
</t>
      </text>
    </comment>
    <comment authorId="27" xr:uid="{c0959877-ac8c-46d1-b4a1-8268713404ba}" ref="L134">
      <text>
        <t xml:space="preserve">[Threaded comment]
 Your version of Excel allows you to read this threaded comment; however, any edits to it will get removed if the file is opened in a newer version of Excel. Learn more: https://go.microsoft.com/fwlink/?linkid=870924
Comment:
	se actualiza según solicitud  de Glenda via correo eliminar johnny@cercalcr.com  y cercalltda@gmail.com 
</t>
      </text>
    </comment>
    <comment authorId="28" xr:uid="{d31393aa-879f-44fe-8f2e-127866dd821e}" ref="I133">
      <text>
        <t xml:space="preserve">[Threaded comment]
 Your version of Excel allows you to read this threaded comment; however, any edits to it will get removed if the file is opened in a newer version of Excel. Learn more: https://go.microsoft.com/fwlink/?linkid=870924
Comment:
	Se solicitó los documentos para la renovación de contrato.
</t>
      </text>
    </comment>
    <comment authorId="29" xr:uid="{d580df53-60a8-4480-a509-e4ad7747ba3b}" ref="L83">
      <text>
        <t xml:space="preserve">[Threaded comment]
 Your version of Excel allows you to read this threaded comment; however, any edits to it will get removed if the file is opened in a newer version of Excel. Learn more: https://go.microsoft.com/fwlink/?linkid=870924
Comment:
	Cambio de representante OEC: 29-10-2024
</t>
      </text>
    </comment>
    <comment authorId="30" xr:uid="{dc3003b3-bf14-4193-afde-d0bd3f9db649}" ref="N21">
      <text>
        <t xml:space="preserve">[Threaded comment]
 Your version of Excel allows you to read this threaded comment; however, any edits to it will get removed if the file is opened in a newer version of Excel. Learn more: https://go.microsoft.com/fwlink/?linkid=870924
Comment:
	se desinsribe en mailchimp el 15.10.2021,
G:\Unidades compartidas\Calidad\ECA- Comunic\Correos solicitud de cambios OEC
</t>
      </text>
    </comment>
    <comment authorId="31" xr:uid="{e44e5640-f297-4f35-a1a4-b33e744a1100}" ref="L41">
      <text>
        <t xml:space="preserve">[Threaded comment]
 Your version of Excel allows you to read this threaded comment; however, any edits to it will get removed if the file is opened in a newer version of Excel. Learn more: https://go.microsoft.com/fwlink/?linkid=870924
Comment:
	25/06/2025 Se reporta salida de representante Brenda Mndragón
</t>
      </text>
    </comment>
    <comment authorId="32" xr:uid="{e7aa4909-4e6a-4ec5-ac1f-c65cd06f00f6}" ref="L155">
      <text>
        <t xml:space="preserve">[Threaded comment]
 Your version of Excel allows you to read this threaded comment; however, any edits to it will get removed if the file is opened in a newer version of Excel. Learn more: https://go.microsoft.com/fwlink/?linkid=870924
Comment:
	18.05.2021 
se elimina a solicitud via correo a Emily Acuña Vargas (emily@tecnosolucionescr.net) y se integra a Nazareth Rojas Rodriguez. (calidad1@tecnosolucionescr.net)
</t>
      </text>
    </comment>
    <comment authorId="33" xr:uid="{fea723d5-bdbf-483f-a8be-5017215ad791}" ref="V133">
      <text>
        <t xml:space="preserve">[Threaded comment]
 Your version of Excel allows you to read this threaded comment; however, any edits to it will get removed if the file is opened in a newer version of Excel. Learn more: https://go.microsoft.com/fwlink/?linkid=870924
Comment:
	Se elimina contacto por reporte de fallecimiento, a la espera de sustitución.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tc={0122486b-2b76-42e7-837e-ef7703832a4f}</author>
    <author>tc={283e4705-9e32-4291-9215-b34b9cb5949e}</author>
    <author>tc={2a0d8fd4-2002-4612-9600-892cf3f26c4b}</author>
    <author>tc={6912257d-7976-4882-97dc-a4943942d995}</author>
    <author>tc={6ae68650-d10b-43ba-bc86-cffc5ced463b}</author>
    <author>tc={70a6ef21-a784-44b1-9a83-8d6a1f5fb9fe}</author>
    <author>tc={ad6d8eb7-91a0-4674-96a0-507e431ec7c7}</author>
    <author>tc={b050c0bb-96e2-4031-a300-28be469fc514}</author>
    <author>tc={db8391fe-e325-4276-bb25-225ad0c5ad20}</author>
    <author>tc={fc132da7-b88e-4fe8-93bf-ddaee1299961}</author>
  </authors>
  <commentList>
    <comment authorId="0" xr:uid="{0122486b-2b76-42e7-837e-ef7703832a4f}" ref="H6">
      <text>
        <t xml:space="preserve">[Threaded comment]
 Your version of Excel allows you to read this threaded comment; however, any edits to it will get removed if the file is opened in a newer version of Excel. Learn more: https://go.microsoft.com/fwlink/?linkid=870924
Comment:
	Adenda al contrato por compra de AMSPEC
</t>
      </text>
    </comment>
    <comment authorId="1" xr:uid="{283e4705-9e32-4291-9215-b34b9cb5949e}" ref="L57">
      <text>
        <t xml:space="preserve">[Threaded comment]
 Your version of Excel allows you to read this threaded comment; however, any edits to it will get removed if the file is opened in a newer version of Excel. Learn more: https://go.microsoft.com/fwlink/?linkid=870924
Comment:
	25/06/2025 Se reporta salida de representante Brenda Mndragón
</t>
      </text>
    </comment>
    <comment authorId="2" xr:uid="{2a0d8fd4-2002-4612-9600-892cf3f26c4b}" ref="A6">
      <text>
        <t xml:space="preserve">[Threaded comment]
 Your version of Excel allows you to read this threaded comment; however, any edits to it will get removed if the file is opened in a newer version of Excel. Learn more: https://go.microsoft.com/fwlink/?linkid=870924
Comment:
	OTI Costa Rica) ha sido adquirido por AmSpec Group
</t>
      </text>
    </comment>
    <comment authorId="3" xr:uid="{6912257d-7976-4882-97dc-a4943942d995}" ref="R16">
      <text>
        <t xml:space="preserve">[Threaded comment]
 Your version of Excel allows you to read this threaded comment; however, any edits to it will get removed if the file is opened in a newer version of Excel. Learn more: https://go.microsoft.com/fwlink/?linkid=870924
Comment:
	se cambia direccion a solicitud via correo por Yanina: San José, del Rest. La Princesa Marina 100 metros Sur 100 metros Oeste y 100 metros Sur casa #55, Moravia
</t>
      </text>
    </comment>
    <comment authorId="4" xr:uid="{6ae68650-d10b-43ba-bc86-cffc5ced463b}" ref="M42">
      <text>
        <t xml:space="preserve">[Threaded comment]
 Your version of Excel allows you to read this threaded comment; however, any edits to it will get removed if the file is opened in a newer version of Excel. Learn more: https://go.microsoft.com/fwlink/?linkid=870924
Comment:
	Cambio representanteOEC
</t>
      </text>
    </comment>
    <comment authorId="5" xr:uid="{70a6ef21-a784-44b1-9a83-8d6a1f5fb9fe}" ref="I54">
      <text>
        <t xml:space="preserve">[Threaded comment]
 Your version of Excel allows you to read this threaded comment; however, any edits to it will get removed if the file is opened in a newer version of Excel. Learn more: https://go.microsoft.com/fwlink/?linkid=870924
Comment:
	En renovación 12/12/23
</t>
      </text>
    </comment>
    <comment authorId="6" xr:uid="{ad6d8eb7-91a0-4674-96a0-507e431ec7c7}" ref="I9">
      <text>
        <t xml:space="preserve">[Threaded comment]
 Your version of Excel allows you to read this threaded comment; however, any edits to it will get removed if the file is opened in a newer version of Excel. Learn more: https://go.microsoft.com/fwlink/?linkid=870924
Comment:
	13/12/23 se le recuerda al OEC actualiar datos para firma de contrato
02/04/2024 se remite información a Daniela
</t>
      </text>
    </comment>
    <comment authorId="7" xr:uid="{b050c0bb-96e2-4031-a300-28be469fc514}" ref="D61">
      <text>
        <t xml:space="preserve">[Threaded comment]
 Your version of Excel allows you to read this threaded comment; however, any edits to it will get removed if the file is opened in a newer version of Excel. Learn more: https://go.microsoft.com/fwlink/?linkid=870924
Comment:
	Este no se acreditó, se acreditó el de expediente OI-055
</t>
      </text>
    </comment>
    <comment authorId="8" xr:uid="{db8391fe-e325-4276-bb25-225ad0c5ad20}" ref="A2">
      <text>
        <t xml:space="preserve">[Threaded comment]
 Your version of Excel allows you to read this threaded comment; however, any edits to it will get removed if the file is opened in a newer version of Excel. Learn more: https://go.microsoft.com/fwlink/?linkid=870924
Comment:
	Nombre de fantasía 
Nombre del OEC para el certificado
</t>
      </text>
    </comment>
    <comment authorId="9" xr:uid="{fc132da7-b88e-4fe8-93bf-ddaee1299961}" ref="H2">
      <text>
        <t xml:space="preserve">[Threaded comment]
 Your version of Excel allows you to read this threaded comment; however, any edits to it will get removed if the file is opened in a newer version of Excel. Learn more: https://go.microsoft.com/fwlink/?linkid=870924
Comment:
	En proceso de actualización, por eso hay celdas sin datos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tc={8af6cc27-1406-49fc-baa1-aa87484d0140}</author>
    <author>tc={8d2a8bd4-a34a-4d9f-a49f-1c5aaacf8d0e}</author>
  </authors>
  <commentList>
    <comment authorId="0" xr:uid="{8af6cc27-1406-49fc-baa1-aa87484d0140}" ref="A2">
      <text>
        <t xml:space="preserve">[Threaded comment]
 Your version of Excel allows you to read this threaded comment; however, any edits to it will get removed if the file is opened in a newer version of Excel. Learn more: https://go.microsoft.com/fwlink/?linkid=870924
Comment:
	Nombre de fantasía 
Nombre del OEC para el certificado
</t>
      </text>
    </comment>
    <comment authorId="1" xr:uid="{8d2a8bd4-a34a-4d9f-a49f-1c5aaacf8d0e}" ref="H2">
      <text>
        <t xml:space="preserve">[Threaded comment]
 Your version of Excel allows you to read this threaded comment; however, any edits to it will get removed if the file is opened in a newer version of Excel. Learn more: https://go.microsoft.com/fwlink/?linkid=870924
Comment:
	En proceso de actualización, por eso hay celdas sin datos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tc={40a0a258-34eb-4228-bddf-0451ab6c31e0}</author>
    <author>tc={56ab0f41-67da-4a85-807e-c6d338381121}</author>
    <author>tc={5bb0b2fb-255b-4772-84b3-8e3fac2916e7}</author>
    <author>tc={7804031f-47a5-48dd-83d1-5137c7aceca1}</author>
    <author>tc={86ed291e-5c93-4a98-853a-e437748be852}</author>
    <author>tc={8d36a918-2cc7-48cc-96a9-d5b112032a49}</author>
    <author>tc={d7dd72c9-bfc6-4e11-9243-2d703b4fb4c9}</author>
  </authors>
  <commentList>
    <comment authorId="0" xr:uid="{40a0a258-34eb-4228-bddf-0451ab6c31e0}" ref="O5">
      <text>
        <t xml:space="preserve">[Threaded comment]
 Your version of Excel allows you to read this threaded comment; however, any edits to it will get removed if the file is opened in a newer version of Excel. Learn more: https://go.microsoft.com/fwlink/?linkid=870924
Comment:
	corroborar número télefonico porque no contestan
</t>
      </text>
    </comment>
    <comment authorId="1" xr:uid="{56ab0f41-67da-4a85-807e-c6d338381121}" ref="A2">
      <text>
        <t xml:space="preserve">[Threaded comment]
 Your version of Excel allows you to read this threaded comment; however, any edits to it will get removed if the file is opened in a newer version of Excel. Learn more: https://go.microsoft.com/fwlink/?linkid=870924
Comment:
	Nombre de fantasía 
Nombre del OEC para el certificado
</t>
      </text>
    </comment>
    <comment authorId="2" xr:uid="{5bb0b2fb-255b-4772-84b3-8e3fac2916e7}" ref="H9">
      <text>
        <t xml:space="preserve">[Threaded comment]
 Your version of Excel allows you to read this threaded comment; however, any edits to it will get removed if the file is opened in a newer version of Excel. Learn more: https://go.microsoft.com/fwlink/?linkid=870924
Comment:
	Indican que no tiene el sistema de gestión implementado, por lo que no presentarán la solicitud aún
</t>
      </text>
    </comment>
    <comment authorId="3" xr:uid="{7804031f-47a5-48dd-83d1-5137c7aceca1}" ref="R5">
      <text>
        <t xml:space="preserve">[Threaded comment]
 Your version of Excel allows you to read this threaded comment; however, any edits to it will get removed if the file is opened in a newer version of Excel. Learn more: https://go.microsoft.com/fwlink/?linkid=870924
Comment:
	Reportaron cambio de sede el 4/6/2025. Pendiente actualizar en la página
</t>
      </text>
    </comment>
    <comment authorId="4" xr:uid="{86ed291e-5c93-4a98-853a-e437748be852}" ref="I5">
      <text>
        <t xml:space="preserve">[Threaded comment]
 Your version of Excel allows you to read this threaded comment; however, any edits to it will get removed if the file is opened in a newer version of Excel. Learn more: https://go.microsoft.com/fwlink/?linkid=870924
Comment:
	Se solicita la información para la renovación del contrato.
</t>
      </text>
    </comment>
    <comment authorId="5" xr:uid="{8d36a918-2cc7-48cc-96a9-d5b112032a49}" ref="H13">
      <text>
        <t xml:space="preserve">[Threaded comment]
 Your version of Excel allows you to read this threaded comment; however, any edits to it will get removed if the file is opened in a newer version of Excel. Learn more: https://go.microsoft.com/fwlink/?linkid=870924
Comment:
	Se les envió para firma el 11/4/24, no se oobtuvo respuesta, se le envió recordatorio el 26 de abril
</t>
      </text>
    </comment>
    <comment authorId="6" xr:uid="{d7dd72c9-bfc6-4e11-9243-2d703b4fb4c9}" ref="I7">
      <text>
        <t xml:space="preserve">[Threaded comment]
 Your version of Excel allows you to read this threaded comment; however, any edits to it will get removed if the file is opened in a newer version of Excel. Learn more: https://go.microsoft.com/fwlink/?linkid=870924
Comment:
	Se solicitó la información correspondiente para la renovación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tc={4d9923d6-0586-437d-bacf-ede81d2c0846}</author>
    <author>tc={5271902a-d94e-4fe5-93e6-f93985f6bb25}</author>
    <author>tc={bf1a8847-44b2-4404-8405-ef25cad51b69}</author>
  </authors>
  <commentList>
    <comment authorId="0" xr:uid="{4d9923d6-0586-437d-bacf-ede81d2c0846}" ref="I6">
      <text>
        <t xml:space="preserve">[Threaded comment]
 Your version of Excel allows you to read this threaded comment; however, any edits to it will get removed if the file is opened in a newer version of Excel. Learn more: https://go.microsoft.com/fwlink/?linkid=870924
Comment:
	Se solicitó la información correspondiente al OEC para la renovación del contrato
</t>
      </text>
    </comment>
    <comment authorId="1" xr:uid="{5271902a-d94e-4fe5-93e6-f93985f6bb25}" ref="I5">
      <text>
        <t xml:space="preserve">[Threaded comment]
 Your version of Excel allows you to read this threaded comment; however, any edits to it will get removed if the file is opened in a newer version of Excel. Learn more: https://go.microsoft.com/fwlink/?linkid=870924
Comment:
	Se solicitó la información para la renovación.
</t>
      </text>
    </comment>
    <comment authorId="2" xr:uid="{bf1a8847-44b2-4404-8405-ef25cad51b69}" ref="A2">
      <text>
        <t xml:space="preserve">[Threaded comment]
 Your version of Excel allows you to read this threaded comment; however, any edits to it will get removed if the file is opened in a newer version of Excel. Learn more: https://go.microsoft.com/fwlink/?linkid=870924
Comment:
	Nombre de fantasía 
Nombre del OEC para el certificado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tc={1b731dda-82d7-4535-96ce-db36af074330}</author>
    <author>tc={1dc10f93-2b5c-45f7-9932-3d50b2ce4a2b}</author>
    <author>tc={27b44557-b03b-4f77-902e-49008d88f8f8}</author>
    <author>tc={38aa2f2e-001b-4a4a-8760-4e3b28af3456}</author>
    <author>tc={72aa917e-fd9a-45a4-bf7d-670e3f31ffcf}</author>
    <author>tc={8abe3d9c-325b-4a54-86c8-3f801fd7340b}</author>
    <author>tc={8c4979c3-f37f-4ba9-8890-7db5a1ddf6bc}</author>
    <author>tc={9bea614d-a0e6-4f00-8cf1-08c870441257}</author>
    <author>tc={e38fa863-2050-4d58-b4e7-3947e44a088f}</author>
    <author>tc={fd19290f-4da2-48d8-a9c7-779ccc5a01ee}</author>
  </authors>
  <commentList>
    <comment authorId="0" xr:uid="{1b731dda-82d7-4535-96ce-db36af074330}" ref="M14">
      <text>
        <t xml:space="preserve">[Threaded comment]
 Your version of Excel allows you to read this threaded comment; however, any edits to it will get removed if the file is opened in a newer version of Excel. Learn more: https://go.microsoft.com/fwlink/?linkid=870924
Comment:
	21/3/24: el OEC solicita vía correo modificar el cortreo de contacto, se elimina  m.arias@pva-approvals.com
</t>
      </text>
    </comment>
    <comment authorId="1" xr:uid="{1dc10f93-2b5c-45f7-9932-3d50b2ce4a2b}" ref="H18">
      <text>
        <t xml:space="preserve">[Threaded comment]
 Your version of Excel allows you to read this threaded comment; however, any edits to it will get removed if the file is opened in a newer version of Excel. Learn more: https://go.microsoft.com/fwlink/?linkid=870924
Comment:
	Se llevó para firma de gerencia.
</t>
      </text>
    </comment>
    <comment authorId="2" xr:uid="{27b44557-b03b-4f77-902e-49008d88f8f8}" ref="G19">
      <text>
        <t xml:space="preserve">[Threaded comment]
 Your version of Excel allows you to read this threaded comment; however, any edits to it will get removed if the file is opened in a newer version of Excel. Learn more: https://go.microsoft.com/fwlink/?linkid=870924
Comment:
	Toca el OCP-018
</t>
      </text>
    </comment>
    <comment authorId="3" xr:uid="{38aa2f2e-001b-4a4a-8760-4e3b28af3456}" ref="J18">
      <text>
        <t xml:space="preserve">[Threaded comment]
 Your version of Excel allows you to read this threaded comment; however, any edits to it will get removed if the file is opened in a newer version of Excel. Learn more: https://go.microsoft.com/fwlink/?linkid=870924
Comment:
	Otorgamiento ampliación Sede China
</t>
      </text>
    </comment>
    <comment authorId="4" xr:uid="{72aa917e-fd9a-45a4-bf7d-670e3f31ffcf}" ref="N19">
      <text>
        <t xml:space="preserve">[Threaded comment]
 Your version of Excel allows you to read this threaded comment; however, any edits to it will get removed if the file is opened in a newer version of Excel. Learn more: https://go.microsoft.com/fwlink/?linkid=870924
Comment:
	Dirección de correo inválida
</t>
      </text>
    </comment>
    <comment authorId="5" xr:uid="{8abe3d9c-325b-4a54-86c8-3f801fd7340b}" ref="B18">
      <text>
        <t xml:space="preserve">[Threaded comment]
 Your version of Excel allows you to read this threaded comment; however, any edits to it will get removed if the file is opened in a newer version of Excel. Learn more: https://go.microsoft.com/fwlink/?linkid=870924
Comment:
	Sede en China
</t>
      </text>
    </comment>
    <comment authorId="6" xr:uid="{8c4979c3-f37f-4ba9-8890-7db5a1ddf6bc}" ref="A2">
      <text>
        <t xml:space="preserve">[Threaded comment]
 Your version of Excel allows you to read this threaded comment; however, any edits to it will get removed if the file is opened in a newer version of Excel. Learn more: https://go.microsoft.com/fwlink/?linkid=870924
Comment:
	Nombre de fantasía 
Nombre del OEC para el certificado
</t>
      </text>
    </comment>
    <comment authorId="7" xr:uid="{9bea614d-a0e6-4f00-8cf1-08c870441257}" ref="H17">
      <text>
        <t xml:space="preserve">[Threaded comment]
 Your version of Excel allows you to read this threaded comment; however, any edits to it will get removed if the file is opened in a newer version of Excel. Learn more: https://go.microsoft.com/fwlink/?linkid=870924
Comment:
	Fecha indicada por el OEC en firma del representante
</t>
      </text>
    </comment>
    <comment authorId="8" xr:uid="{e38fa863-2050-4d58-b4e7-3947e44a088f}" ref="F21">
      <text>
        <t xml:space="preserve">[Threaded comment]
 Your version of Excel allows you to read this threaded comment; however, any edits to it will get removed if the file is opened in a newer version of Excel. Learn more: https://go.microsoft.com/fwlink/?linkid=870924
Comment:
	Se asigna OCP-021 para comenzar número de expediente igual al de acreditación
</t>
      </text>
    </comment>
    <comment authorId="9" xr:uid="{fd19290f-4da2-48d8-a9c7-779ccc5a01ee}" ref="M10">
      <text>
        <t xml:space="preserve">[Threaded comment]
 Your version of Excel allows you to read this threaded comment; however, any edits to it will get removed if the file is opened in a newer version of Excel. Learn more: https://go.microsoft.com/fwlink/?linkid=870924
Comment:
	el correo prinicpal para ambos OEC de ANCE es fflores@ance.org.mx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tc={5a0798f2-a467-49a5-bd49-ae2c3c942e2a}</author>
  </authors>
  <commentList>
    <comment authorId="0" xr:uid="{5a0798f2-a467-49a5-bd49-ae2c3c942e2a}" ref="A2">
      <text>
        <t xml:space="preserve">[Threaded comment]
 Your version of Excel allows you to read this threaded comment; however, any edits to it will get removed if the file is opened in a newer version of Excel. Learn more: https://go.microsoft.com/fwlink/?linkid=870924
Comment:
	Nombre de fantasía 
Nombre del OEC para el certificado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tc={650c1da5-f663-4987-95ae-1716ff9c5d06}</author>
    <author>tc={a3e56301-bab9-4411-b888-b8432be0fe7e}</author>
    <author>tc={b6fcb97e-5826-41fa-a126-5da36921897c}</author>
  </authors>
  <commentList>
    <comment authorId="0" xr:uid="{650c1da5-f663-4987-95ae-1716ff9c5d06}" ref="A2">
      <text>
        <t xml:space="preserve">[Threaded comment]
 Your version of Excel allows you to read this threaded comment; however, any edits to it will get removed if the file is opened in a newer version of Excel. Learn more: https://go.microsoft.com/fwlink/?linkid=870924
Comment:
	Nombre de fantasía 
Nombre del OEC para el certificado
</t>
      </text>
    </comment>
    <comment authorId="1" xr:uid="{a3e56301-bab9-4411-b888-b8432be0fe7e}" ref="L9">
      <text>
        <t xml:space="preserve">[Threaded comment]
 Your version of Excel allows you to read this threaded comment; however, any edits to it will get removed if the file is opened in a newer version of Excel. Learn more: https://go.microsoft.com/fwlink/?linkid=870924
Comment:
	El 20/01/2025 se solicita eliminar el contacto, quedando pendiente de sustituir.
</t>
      </text>
    </comment>
    <comment authorId="2" xr:uid="{b6fcb97e-5826-41fa-a126-5da36921897c}" ref="L6">
      <text>
        <t xml:space="preserve">[Threaded comment]
 Your version of Excel allows you to read this threaded comment; however, any edits to it will get removed if the file is opened in a newer version of Excel. Learn more: https://go.microsoft.com/fwlink/?linkid=870924
Comment:
	12/8/25: se solicita incorporar ppizarro@lsqa.com pero no ha llegado solicitud oficial de representante
</t>
      </text>
    </comment>
  </commentList>
</comments>
</file>

<file path=xl/sharedStrings.xml><?xml version="1.0" encoding="utf-8"?>
<sst xmlns="http://schemas.openxmlformats.org/spreadsheetml/2006/main" count="9832" uniqueCount="5094">
  <si>
    <t>Directorio OEC</t>
  </si>
  <si>
    <t xml:space="preserve">Código No. : </t>
  </si>
  <si>
    <t xml:space="preserve">Páginas: </t>
  </si>
  <si>
    <t>ECA-MP-P09-F03</t>
  </si>
  <si>
    <t>Página: 1 de 10</t>
  </si>
  <si>
    <t xml:space="preserve">Fecha de entrada en vigencia </t>
  </si>
  <si>
    <t>Versión:</t>
  </si>
  <si>
    <t>Norma de Referencia: INTE ISO/IEC 17025:2017 Requisitos generales para la competencia de laboratorios de ensayo y calibración</t>
  </si>
  <si>
    <t>Nombre del OEC</t>
  </si>
  <si>
    <t>Nombre 
Razón social</t>
  </si>
  <si>
    <t>Tipo OEC</t>
  </si>
  <si>
    <t>Estatus</t>
  </si>
  <si>
    <t>Sector</t>
  </si>
  <si>
    <t># Expediente</t>
  </si>
  <si>
    <t># Acreditación</t>
  </si>
  <si>
    <t>Fecha firma de contrato</t>
  </si>
  <si>
    <t>Renovación de contrato</t>
  </si>
  <si>
    <t>Fecha de Otorgamiento</t>
  </si>
  <si>
    <t>Resumen fecha ampliaciones</t>
  </si>
  <si>
    <t>Nombre Representante ECA</t>
  </si>
  <si>
    <t>Email para notificaciones (oficial)</t>
  </si>
  <si>
    <t>Email alternativos (copias de comunicación)</t>
  </si>
  <si>
    <t>Teléfono</t>
  </si>
  <si>
    <t>Fax</t>
  </si>
  <si>
    <t>País</t>
  </si>
  <si>
    <t>Dirección</t>
  </si>
  <si>
    <t>Provincia</t>
  </si>
  <si>
    <t>Cédula Jurídica</t>
  </si>
  <si>
    <t>Sitio Web</t>
  </si>
  <si>
    <t>Representante Legal</t>
  </si>
  <si>
    <t># Identificación</t>
  </si>
  <si>
    <t>Estado Civil</t>
  </si>
  <si>
    <t>Nacionalidad</t>
  </si>
  <si>
    <t>Profesión</t>
  </si>
  <si>
    <t>Dirección para recibir  notificaciones</t>
  </si>
  <si>
    <t>Correo electrónico</t>
  </si>
  <si>
    <t>Cargo dentro del OEC:</t>
  </si>
  <si>
    <t>Contacto Dpto. de Facturación/ Cobro</t>
  </si>
  <si>
    <t>Nombre</t>
  </si>
  <si>
    <t>Teléfono2</t>
  </si>
  <si>
    <t>Dirección3</t>
  </si>
  <si>
    <t>Fax4</t>
  </si>
  <si>
    <t>Email</t>
  </si>
  <si>
    <t>Horario</t>
  </si>
  <si>
    <t>Empresa</t>
  </si>
  <si>
    <t>Observaciones</t>
  </si>
  <si>
    <t>AGQ Costa Rica S.A.</t>
  </si>
  <si>
    <t>LE</t>
  </si>
  <si>
    <t>A</t>
  </si>
  <si>
    <t>Privado</t>
  </si>
  <si>
    <t>LE-002</t>
  </si>
  <si>
    <t>Jeisson Cárdenas</t>
  </si>
  <si>
    <t>jeisson.cardenas@agqlabs.com</t>
  </si>
  <si>
    <t>noelia.lopez@agqlabs.com, andres.villalobos@agqlabs.com, David.solorzano@agqlabs.com</t>
  </si>
  <si>
    <t>2286-1168</t>
  </si>
  <si>
    <t>Costa Rica</t>
  </si>
  <si>
    <t>San José, de la Iglesia 100 m oeste, 75  m norte y 75 m oeste, Barrio Los Álamos,  San Francisco de Dos Ríos</t>
  </si>
  <si>
    <t>San José</t>
  </si>
  <si>
    <t>3-101-74595</t>
  </si>
  <si>
    <t>https://agqlabs.cr/</t>
  </si>
  <si>
    <t>Andrés Villalobos Herrera</t>
  </si>
  <si>
    <t>1-0984-0656</t>
  </si>
  <si>
    <t>Casado</t>
  </si>
  <si>
    <t>Costarricense</t>
  </si>
  <si>
    <t>Ingeniero agronomo</t>
  </si>
  <si>
    <t>San José, San Francisco de Dos Ríos, de la escuela República Dominicana 50 m norte y 75 m oeste</t>
  </si>
  <si>
    <t>andres.villalobos@agqlabs.com</t>
  </si>
  <si>
    <t>Gerente General</t>
  </si>
  <si>
    <t>Romario Masis Valle</t>
  </si>
  <si>
    <t>San José, de la Iglesia 100 oeste, 75  norte y 75 oeste, Barrio Los Álamos,  San Francisco de Dos Ríos</t>
  </si>
  <si>
    <t>facturae-cr@agqlabs.com</t>
  </si>
  <si>
    <t>8 am A 6 pm</t>
  </si>
  <si>
    <t xml:space="preserve">Cambio en razón social, ahora es AGQ Costa Rica </t>
  </si>
  <si>
    <t>Laboratorio Químico AQYLA S.A.</t>
  </si>
  <si>
    <t xml:space="preserve"> Asesorías Químicas AQYLA Sociedad Anónima </t>
  </si>
  <si>
    <t>LE-003</t>
  </si>
  <si>
    <t>No aplica</t>
  </si>
  <si>
    <t>Elizabeth Mojica Araya</t>
  </si>
  <si>
    <t xml:space="preserve"> aqylasa@ice.co.cr</t>
  </si>
  <si>
    <t>emojica.aqylasa@hotmail.com</t>
  </si>
  <si>
    <t xml:space="preserve">San José,  25 m Sur de Esquina Sur Oeste del Parque, Curridabat. </t>
  </si>
  <si>
    <t>3-101-093975-35</t>
  </si>
  <si>
    <t>Lic Leonor Rodriguez Montero</t>
  </si>
  <si>
    <t xml:space="preserve">1-418-303 </t>
  </si>
  <si>
    <t>Soltera</t>
  </si>
  <si>
    <t xml:space="preserve">Costarricense </t>
  </si>
  <si>
    <t xml:space="preserve">Lic Quimica </t>
  </si>
  <si>
    <t xml:space="preserve">San José,  25 Sur de Esquina Sur Oeste del Parque, Curridabat. </t>
  </si>
  <si>
    <t xml:space="preserve">Directora Técnica </t>
  </si>
  <si>
    <t xml:space="preserve">Lic Elizabeth Mojica </t>
  </si>
  <si>
    <t xml:space="preserve">Asesorias Quimicas Aqylasa </t>
  </si>
  <si>
    <t xml:space="preserve">8Am a 5 pm </t>
  </si>
  <si>
    <t>AQYLA S.A</t>
  </si>
  <si>
    <t>Suspensión parcial voluntario del 08/03/2024 al 08/03/2025</t>
  </si>
  <si>
    <t>Laboratorio del Centro de Investigación y de Servicios Químicos y Microbiológicos- CEQIATEC</t>
  </si>
  <si>
    <t xml:space="preserve">Instituto Tecnológico de Costa Rica </t>
  </si>
  <si>
    <t>Académico</t>
  </si>
  <si>
    <t>LE-004</t>
  </si>
  <si>
    <t xml:space="preserve">
Federico Masís Meléndez / Adrián Flores </t>
  </si>
  <si>
    <t>fmasis@itcr.ac.cr</t>
  </si>
  <si>
    <t>aflores@tec.ac.cr; aflores@itcr.ac.cr</t>
  </si>
  <si>
    <t>2550-2368</t>
  </si>
  <si>
    <t>2591-5147</t>
  </si>
  <si>
    <t> Cartago, 400 este, Estadio Fello Meza, Edificio Núcleo integrado de escuela de Química e Ingeniería Ambiental"  (Sede Central I.T.C.R.)</t>
  </si>
  <si>
    <t>Cartago</t>
  </si>
  <si>
    <t>4000-042145-07</t>
  </si>
  <si>
    <t>María Estrada Sánchez</t>
  </si>
  <si>
    <t> Cartago, 400 este, Estadio Fello Meza,  (Sede Central I.T.C.R.)</t>
  </si>
  <si>
    <t>Rector</t>
  </si>
  <si>
    <t xml:space="preserve"> Noemy Quirós Bustos</t>
  </si>
  <si>
    <t>Fundatec</t>
  </si>
  <si>
    <t>7:30 a.m. a 12:00 md y de 1:00 a 4:30 p.m.</t>
  </si>
  <si>
    <t>ITCR</t>
  </si>
  <si>
    <t>18.02.2019 Reducción voluntaria para los ensayos PT-QU-3, cloruros, PT-QU-5, fluoruros y PT-QU-6, nitratos. / 07.06.2017 reducción del ensayo recuento heterotrofo en placa para agua /23.01.2017 reducción de alcance para el ensayo físico químico en agua residual: demanda química de oxígeno / 12.04.2016 reducción de alcance para los metodos PT-QUI-02-08 para determinación de sulfato en agua, PT-QUI-02-09 para determinación de cromo en agua, 
Método desarrollado en laboratorio (PT-QUI-03).  Cromatografía de gases. Extracción en fase sólida  para determinación de residuos de plaguicidas organofosforados en Leche, Método no normalizado, modificado (Application, Note 64, Sigma-Aldrich Co. 1997) (PT-QUI-03) Cromatografía de gases Extracción en fase sólida para determinación de Residuo de plaguicidas organofosforados y organoclorados en agua potable y residual, Método desarrollado en laboratorio (PT-QUI-03).  Cromatografía de gases.  Extracción en fase sólida para la determinación de Residuo de plaguicidas organofosforados en Frutas y vegetales (banano, piña, mango, camote, chile dulce, chayote) / 01.07.2014 para pruebas de esterilidad para controles biológicos en dispositivos de control de procesos de esterilización</t>
  </si>
  <si>
    <t xml:space="preserve">Laboratorio de Ensayos Conducen                       </t>
  </si>
  <si>
    <t>CONDUCEN SOCIEDAD DE RESPONSABILIDAD LIMITADA</t>
  </si>
  <si>
    <t>LE-006</t>
  </si>
  <si>
    <t>Juan Arias Araya</t>
  </si>
  <si>
    <t>juan.arias@prysmiangroup.com</t>
  </si>
  <si>
    <t xml:space="preserve"> nikol.castillo@prysmiangroup.com
edwin.hernandez@prysmiangroup.com</t>
  </si>
  <si>
    <t>Carretera Interamericana Norte, frente a Real Cariari. PROVINCIA 04 HEREDIA, CANTON 07 BELEN, SAN ANTONIO, KILOMETRO 11.5 AUTOPISTA GENERAL CAÑAS,
INTERSECCION SAN ANTONIO.</t>
  </si>
  <si>
    <t>Heredia</t>
  </si>
  <si>
    <t xml:space="preserve">https://central-america.prysmian.com/es </t>
  </si>
  <si>
    <t>Adriana de lo Ángeles Delgado Castillo</t>
  </si>
  <si>
    <t>1-1268-0188</t>
  </si>
  <si>
    <t>Administradora de Empresas</t>
  </si>
  <si>
    <t>adriana.delgado@prysmian.com</t>
  </si>
  <si>
    <t>Directora Financiera</t>
  </si>
  <si>
    <t>Depto. Crédito y Cobro.</t>
  </si>
  <si>
    <t>luisfernando.roman@prysmian.com</t>
  </si>
  <si>
    <t>8 am a 5:30 pm</t>
  </si>
  <si>
    <t>CONDUCEN</t>
  </si>
  <si>
    <t>4/8/25: Se actualizan datos de contacto para facturación y datos del representante legal 
15.07.2016 reducción de alcance para el ensayo visual en alambres, cables cordones desnudos con aislamiento area transversal 0,205mm2 para la determinación del marcado del producto / 27.05.2016
DETERMINACIÓN DE LA CANTIDAD DE HUMOS y DETERMINACIÓN DE LA CANTIDAD DE GAS  ÁCIDO HALOGENADO en Alambres, Cable,  Cordones desnudos o  con aislamiento y/o cubiertas con
Área de sección transversal de 0,205 mm² a 507,0  mm² (Alcance Original)
/ Antes de enviar una factura deben enviar una cotizacion del servicio brindado.</t>
  </si>
  <si>
    <t>Laboratorio del Centro de Investigación en Contaminación Ambiental-CICA</t>
  </si>
  <si>
    <t>Universidad de Costa Rica</t>
  </si>
  <si>
    <t>LE-007</t>
  </si>
  <si>
    <t>LE-007-R01</t>
  </si>
  <si>
    <t>Johan Molina Delgado</t>
  </si>
  <si>
    <t>calidad.cica@ucr.ac.cr</t>
  </si>
  <si>
    <t>2511-8208</t>
  </si>
  <si>
    <t>N/A</t>
  </si>
  <si>
    <t>San José, Cuidad Universitaria Rodrigo Facio, atrás de la biblioteca de salud, San Pedro de Montes de Oca.</t>
  </si>
  <si>
    <t>3-006101757</t>
  </si>
  <si>
    <t>https://cica.ucr.ac.cr/</t>
  </si>
  <si>
    <t>Carlos Araya Leandro</t>
  </si>
  <si>
    <t>3-0305-0948</t>
  </si>
  <si>
    <t>Doctor en Economía, Gestión y Control de Entidades y Políticas Públicas.</t>
  </si>
  <si>
    <t>San José, Sede Univesitaria Rodrigo Facio, Edificio Administrativo B, Segundo Piso, Oficina de Rectoría, San Pedro de Montes de Oca.</t>
  </si>
  <si>
    <t>Rector Universidad de Costa Rica</t>
  </si>
  <si>
    <t>María Soledad Vanegas Avilés</t>
  </si>
  <si>
    <t>FUNDEVI</t>
  </si>
  <si>
    <t xml:space="preserve">2253-1363 </t>
  </si>
  <si>
    <t>8:00-12:00 y 13:00-17:00</t>
  </si>
  <si>
    <t>UCR</t>
  </si>
  <si>
    <t>12.04.2016 Reducción de alcance para el metodo  de referencia  MAR-14 para la determinación del ensayo Mancozeb en rroz, apio, banano, brócoli, cebolla, chile, coliflor, culantro, chayote, camote, espinaca, frijoles, fresa, granadilla, lechuga, limón, melón, mora, minivegetales, mango, manzana, naranja, ñame, pepino, pera, papa, piña, papaya, repollo, sandía, tomate, tiquisque, vainica, yuca y zanahoria
/ Reducción de alcance 12.05.2015 analitos del ensayo “MAR-05: Determinación de residuos de plaguicidas en alimentos por cromatografía de gases”de los analitos: Diazinón, Forato, Terbufós, Acefato, Clorotalonil y Foxim.  Reducción de alcance 28.04.2015 para el ensayo: “MAQA-19: Determinación de metales por absorción atómica utilizando horno de grafito (GFAAS) para los elementos antimonio, selenio y estaño” 24.02.2015 Reducción de alcance para los ensayos MAR 5: Determinación de residuos de plaguicidas por cromatografía de gases: Causafos, Fenamifos, Metamidofos, Triadimefon, Triazofós, Deltametrina.  16.12.2014 Reducción de alcance para los ensayos  MACA-17 Determinación de la concentración de gases O2, CO2, CO, SO2, NO, NO2 y NOx, en los gases de escape de una fuente fija EPA CTM-034.
MACA-07 Partículas suspendidas en aire PM-10. Determinación de la concentración de partículas respirables (PM-10).
10.06.2014. Suspensión voluntaria parcial del alcance del 10.06.2014 al 10.12.2014 para los ensayos: determinación de gases O2, CO2, CO, SO2, NO, NO2 y NOx, en los gases de escape de una fuente fija EPA CTM-034. 27.05.2014 1. MAR-1 Determinación de residuos de plaguicidas en muestra de agua por cromatografía de gases utilizando extracción líquido analito: Acefato, Captán, Clorotalonil, Forcim, Metalaxil, Metamidofos, Monocrotofós. 2. MAR-7 Determinación de plaguicidas ácidos y neutros en agua por extracción en fase sólida y cromatografía líquida de alta resolución analito: Dicamba, Disulfotón, Fentión. 3. MAR- 9 Determinación de residuos carbonatados en aguas utilizando extracción líquido y CLAR analito: 3- cetocarbofuran. 4. MAR-24 Determinación de residuos de fenamidona por cromatografía de gases en muestras de piña: corazón, pulpa, cáscara y fruto completo             12.11.2013 Reducción de alcance en los ensayos determinación de Caudal en aguas, aguas residuales y aguas de mar, Determinación de Sólidos Volátiles y fijos en aguas, aguas residuales y aguas de mar      14.01.2014  Suspensión voluntaria parcial del alcance del 14.01.2014 al 14.07.2014 para los ensayos: MAR-5:Determinaciòn de residuos de Plaguicidas, por cromatografía de gases en matrices de origen vegetal: con elevado contenido de agua y contenido escaso o ausencia de clorofila, elevado contenido de ácido, elevado contenido de agua y clorofila, elevado contenido de aceite o grasa, y materiales secos. MAQA-19: Metales pesados MAQA-39: Mercurio.</t>
  </si>
  <si>
    <t>Laboratorios de Control de Calidad RECOPE</t>
  </si>
  <si>
    <t>Refinadora Costarricense de Petroleo Sociedad Anónima</t>
  </si>
  <si>
    <t>Público</t>
  </si>
  <si>
    <t>LE-009/LE-010</t>
  </si>
  <si>
    <t>A10: 09/07/2025</t>
  </si>
  <si>
    <t>Erick Solano ,  Francisco Padilla</t>
  </si>
  <si>
    <t>gestión.calidad@recope.go.cr
gestioncalidad.comunicacioneseca@recope.go.cr</t>
  </si>
  <si>
    <t>francisco.padilla@recope.go.cr
erick.solano@recope.go.cr</t>
  </si>
  <si>
    <t>(506) 2550-3667 Móvil: (506) 8819-9383
2550-3553 / 2550-3750 / 8310-0137 Erick Solano, 2550-3667 3500 367 
Francisco Padilla: 2436-6049</t>
  </si>
  <si>
    <t xml:space="preserve">Cartago, Plantel de Distibución El Alto Recope, Ochomogo de Cartago </t>
  </si>
  <si>
    <t>3-101-007749</t>
  </si>
  <si>
    <t>Luis Manuel Sánchez Esquierdo</t>
  </si>
  <si>
    <t>Ingeniero Químico</t>
  </si>
  <si>
    <t>Terminal el Alto de Ochomogo, kilómetro
12 km, Ruta 2, Ochomogo, San Nicolás, Cartago.</t>
  </si>
  <si>
    <t>Gerente de Operaciones</t>
  </si>
  <si>
    <t>Tesorería</t>
  </si>
  <si>
    <t>Hubert López Chacón</t>
  </si>
  <si>
    <t>2284-4740</t>
  </si>
  <si>
    <t>Calle 108, Ruta 32. Km 0,
Edificio Hernán Garrón Salazar
San Francisco de Goicoechea
San José, Costa Rica</t>
  </si>
  <si>
    <t>factura@recope.go.cr</t>
  </si>
  <si>
    <t>7:00 am a 3:00 pm</t>
  </si>
  <si>
    <t>RECOPE</t>
  </si>
  <si>
    <t>El cliente de la factura debe ser:  Laboratorio Control de Calidad RECOPE, LE-009</t>
  </si>
  <si>
    <t xml:space="preserve">Laboratorio San Martín                            </t>
  </si>
  <si>
    <t>LE-012</t>
  </si>
  <si>
    <t>Dr. Juan Carlos Rojas Carrión</t>
  </si>
  <si>
    <t>jcrojas@labsanmartin.com</t>
  </si>
  <si>
    <t xml:space="preserve">carolina@labsanmartin.com </t>
  </si>
  <si>
    <t>2222-3635</t>
  </si>
  <si>
    <t>2222-2486</t>
  </si>
  <si>
    <t>San José, Calles 1 y 3, Ave. 10, del Banco Popular 300 m sur y 25 m este.</t>
  </si>
  <si>
    <t>3-101-74483</t>
  </si>
  <si>
    <t>1-0576-0622</t>
  </si>
  <si>
    <t>Microbiólogo</t>
  </si>
  <si>
    <t>San José, Calles 1 y 3, Ave. 10, del Banco Popular 300 sur y 25 este.</t>
  </si>
  <si>
    <t>Carolina Rojas Sánchez</t>
  </si>
  <si>
    <t>Centro Médico San Martín</t>
  </si>
  <si>
    <t>L-V 7am - 5 pm S 8am - 12 md</t>
  </si>
  <si>
    <t>San Martin</t>
  </si>
  <si>
    <t>Fecha de actualización de listado de alcance flexible: 22.01.2014</t>
  </si>
  <si>
    <t>Laboratorio Echandi</t>
  </si>
  <si>
    <t>Microbiologos Asociados Sociedad Anonima</t>
  </si>
  <si>
    <t>LE-014</t>
  </si>
  <si>
    <t>Federico Echandi</t>
  </si>
  <si>
    <t>fechandi@labechandi.com</t>
  </si>
  <si>
    <t>nvargas@labechandi.com
aviquez@labechandi.com</t>
  </si>
  <si>
    <t>7106-2648 /2258-4334/8666-0423</t>
  </si>
  <si>
    <t>San José, 25 metros norte de el restaurante Mac Donalds, contiguo a Auto Pitz,  San Rafael de Escazú</t>
  </si>
  <si>
    <t>3-101-014359-26</t>
  </si>
  <si>
    <t>www.labechandi.com</t>
  </si>
  <si>
    <t>1-1111-0536</t>
  </si>
  <si>
    <t>Microbiólogos Asociados S.A.</t>
  </si>
  <si>
    <t>7106-2648 /2258-4334</t>
  </si>
  <si>
    <t>2221-7159</t>
  </si>
  <si>
    <t>L a V de 8 am a 5 pm</t>
  </si>
  <si>
    <t>Echandi - Sta Rita</t>
  </si>
  <si>
    <t>2022.01.18 Reducción voluntaria del alcance de acreditación de los siguientes ensayos: LE-AA-I09, LE-AA-I10 y LE-DE-100// 22.10.2013 Reducción de alcances en los inmunoensayos: Canabinoides (THC) en orina. Metabolito de Cocaína en orina. // 17.09.2018 en el área de química clínica para los ensayos de Hierro y Capacidad de Fijación de Hierro. //</t>
  </si>
  <si>
    <t xml:space="preserve">Laboratorio Nacional de Materiales y Modelos Estructurales LANAMME-UCR.       </t>
  </si>
  <si>
    <t>R</t>
  </si>
  <si>
    <t>LE-018</t>
  </si>
  <si>
    <t xml:space="preserve"> Ing. Humberto Tioli Mora</t>
  </si>
  <si>
    <t>emmanuel.badilla@ucr.ac.crjose.tioli@ucr.ac.cr</t>
  </si>
  <si>
    <t xml:space="preserve">direccion.lanamme@ucr.ac.crmaria.castrosoto@ucr.ac.cr </t>
  </si>
  <si>
    <t>2511-2500/ 2511-2531</t>
  </si>
  <si>
    <t>2511-4440</t>
  </si>
  <si>
    <t>San José, 500 m Norte de Supermercado Muñoz &amp; Nanne, Ciudad de la Investigación, Universidad de Costa Rica, San Pedro de Montes de Oca.</t>
  </si>
  <si>
    <t>4-000-042149</t>
  </si>
  <si>
    <t xml:space="preserve">http://www.lanamme.ucr.ac.cr/ </t>
  </si>
  <si>
    <t>Ing. Humberto Tioli</t>
  </si>
  <si>
    <t>2511-2514</t>
  </si>
  <si>
    <t>San José, 500 Norte de Supermercado Muñoz &amp; Nanne, Ciudad de la Investigación, Universidad de Costa Rica, San Pedro de Montes de Oca.</t>
  </si>
  <si>
    <t>jose.tioli@ucr.ac.cr; maria.castrosoto@ucr.ac.cr; randall.valle@ucr.ac.cr; facturacionelectronica.lanamme@ucr.ac.cr; emmanuel.badilla@ucr.ac.cr</t>
  </si>
  <si>
    <t>08:00 - 17:00</t>
  </si>
  <si>
    <t>Facturar a nombre de: Universidad de Costa Rica</t>
  </si>
  <si>
    <t>Laboratorio de Calibración SCM Metrología y Laboratorios S.A.</t>
  </si>
  <si>
    <t xml:space="preserve">SCM Metrología y Laboratorios Sociedad Anónima   </t>
  </si>
  <si>
    <t>LC</t>
  </si>
  <si>
    <t>LC-020</t>
  </si>
  <si>
    <t>Carlos Alvarado / Jose Marvin Rodríguez Vásquez</t>
  </si>
  <si>
    <t>carlos.alvarado@scmmetrologia.com</t>
  </si>
  <si>
    <t xml:space="preserve">jose.rodriguez@scmmetrologia.com </t>
  </si>
  <si>
    <t>(+506) 4020-1201 / (+506) 7206-1540 / (+506) 7206-1566</t>
  </si>
  <si>
    <t>4020-1203</t>
  </si>
  <si>
    <t>Zona Franca Bes, L1, Coyol, Alajuela</t>
  </si>
  <si>
    <t>Edgar Sánchez Molina</t>
  </si>
  <si>
    <t xml:space="preserve">  2-0459-0214</t>
  </si>
  <si>
    <t xml:space="preserve"> Químico</t>
  </si>
  <si>
    <t>vecino de San
Pablo de Heredia, Residencial Doña Nina, casa 19.</t>
  </si>
  <si>
    <t>Director</t>
  </si>
  <si>
    <t>Laura Molina Salazar</t>
  </si>
  <si>
    <t>SCM Metrología y Laboratorio S.A.</t>
  </si>
  <si>
    <t>2431-5252 ext. 102</t>
  </si>
  <si>
    <t xml:space="preserve">Alajuela, 2 km Este del Aeropuerto Internacional Juan Santamaría, Río Segundo de Alajuela </t>
  </si>
  <si>
    <t>2432-4180</t>
  </si>
  <si>
    <t>7:00 am a 4:30 pm</t>
  </si>
  <si>
    <t>SCM</t>
  </si>
  <si>
    <t>11.06.2019. Mantenimiento de acreditación otorgada en CA-008-2019</t>
  </si>
  <si>
    <t xml:space="preserve">Laboratorio Pruebas de Paternidad                                  </t>
  </si>
  <si>
    <t xml:space="preserve">Caja Costarricense de Seguro Social </t>
  </si>
  <si>
    <t>LE-021</t>
  </si>
  <si>
    <t>Lucía Obando Madrigal</t>
  </si>
  <si>
    <t>lobandom@ccss.sa.cr</t>
  </si>
  <si>
    <t>jpmontes@ccss.sa.cr</t>
  </si>
  <si>
    <t>2257-5342</t>
  </si>
  <si>
    <t>San José, Avenida central, calles 16 y 20, edificio Joissar, 3° piso.</t>
  </si>
  <si>
    <t>4-000-042147</t>
  </si>
  <si>
    <t>http://portal.ccss.sa.cr/portal/page/portal/Gerencia_Medica/Laboratorio_de_Pruebas_de_Paternidad</t>
  </si>
  <si>
    <t>RANDAL ALAN ÁLVAREZ JUÁREZ</t>
  </si>
  <si>
    <t>5-0290-0193</t>
  </si>
  <si>
    <t>costarricense</t>
  </si>
  <si>
    <t>Medico</t>
  </si>
  <si>
    <t>Gerente Médico CCSS</t>
  </si>
  <si>
    <t>Diana Jane Conejo Rodríguez; José Joaquín Solano Solís</t>
  </si>
  <si>
    <t>CCSS, Laboratorio de Pruebas de Paternidad</t>
  </si>
  <si>
    <t>Lunes a jueves de 7:00 a 16:00; viernes 7:00 a 15:00</t>
  </si>
  <si>
    <t>CCSS - Pruebas de Paternidad</t>
  </si>
  <si>
    <t xml:space="preserve">La casa de la Balanza de Cartago S.A.                       </t>
  </si>
  <si>
    <t xml:space="preserve">La casa de la Balanza de Cartago Sociedad Anónima                   </t>
  </si>
  <si>
    <t>LC-025</t>
  </si>
  <si>
    <t>Roberto Granados Solis</t>
  </si>
  <si>
    <t>calidad@casabalanza.com</t>
  </si>
  <si>
    <t xml:space="preserve"> servicioalcliente@casabalanza.com</t>
  </si>
  <si>
    <t>2552-6311</t>
  </si>
  <si>
    <t>2551-4751</t>
  </si>
  <si>
    <t>Cartago, del Banco de Costa Rica, 200 m  Sur, 50 m este y 25 m al Sur, San Rafael de Oreamuno.</t>
  </si>
  <si>
    <t>3-101-136275</t>
  </si>
  <si>
    <t>Roberto Granados Solís</t>
  </si>
  <si>
    <t>3-280-863</t>
  </si>
  <si>
    <t>Mecánico Industrial</t>
  </si>
  <si>
    <t>Cartago, del Banco de Costa Rica, 200  Sur y 50 este, San Rafael de Oreamuno.</t>
  </si>
  <si>
    <t>Presidente</t>
  </si>
  <si>
    <t>Gabriela Vargas Araya</t>
  </si>
  <si>
    <t>La Casa de la Balanza de Cartago, S.A.</t>
  </si>
  <si>
    <t>2552-7293</t>
  </si>
  <si>
    <t>Lunes a Viernes de 10 a.m a 12.a.m y 2:00 pm a 4:00 p.m.</t>
  </si>
  <si>
    <t>Los pagos se hacen por transferencia los días viernes.</t>
  </si>
  <si>
    <t>Vieto &amp; Asociados S.A.</t>
  </si>
  <si>
    <t>Vieto &amp; Asociados Sociedad Anónima</t>
  </si>
  <si>
    <t>LE-026</t>
  </si>
  <si>
    <t>LE-023</t>
  </si>
  <si>
    <t>A07: 15/10/2024</t>
  </si>
  <si>
    <t>Susy Vieto de la Fuente</t>
  </si>
  <si>
    <t>susy.vieto@vieto.com</t>
  </si>
  <si>
    <t>calidad@vieto.com</t>
  </si>
  <si>
    <t>2268-8297 ext: 225</t>
  </si>
  <si>
    <t>2268-9457</t>
  </si>
  <si>
    <t>Heredia, del rancho de Doña Lela 3.5km sobre la autopista Braulio Carrillo, después del segundo puente peatonal 400 norte primer entrada de lastre a mano derecha, San Luis de Santo Domingo.</t>
  </si>
  <si>
    <t>3-101-029579-15</t>
  </si>
  <si>
    <t>1-0753-0214</t>
  </si>
  <si>
    <t>Casada</t>
  </si>
  <si>
    <t>Administradora de empresas</t>
  </si>
  <si>
    <t>Gerente de Calidad</t>
  </si>
  <si>
    <t>Vanessa Loaiza</t>
  </si>
  <si>
    <t>2268-8297</t>
  </si>
  <si>
    <t>Lunes a viernes de 7:00am a 5:00pm
Sábados 7:00am a 12:00md</t>
  </si>
  <si>
    <t>Vieto y Asociados</t>
  </si>
  <si>
    <t>De lunes a viernes cerrado de 12:00md a 1:00pm</t>
  </si>
  <si>
    <t>Agrotec Laboratorios Analíticos S.A.</t>
  </si>
  <si>
    <t xml:space="preserve">Agrotec Laboratorios Analíticos Sociedad Anónima </t>
  </si>
  <si>
    <t>A-S</t>
  </si>
  <si>
    <t>LE-027</t>
  </si>
  <si>
    <t>LE-029</t>
  </si>
  <si>
    <t>A01: 12/07/2024</t>
  </si>
  <si>
    <t>Frank Rivas, Priscilla Meléndez Vargas</t>
  </si>
  <si>
    <t>frank.rivas@agrotec.net</t>
  </si>
  <si>
    <t>priscila.melendez@agrotec.net
eric.arauz@agrotec.net
 ana.angulo@agrotec.net</t>
  </si>
  <si>
    <t>4040-0390</t>
  </si>
  <si>
    <t>Alajuela, Alajuela, San Rafael. Ofibodegas del Oeste, local 13.</t>
  </si>
  <si>
    <t>3-101-161663</t>
  </si>
  <si>
    <t>NA</t>
  </si>
  <si>
    <t>Steven Mullins Cordero</t>
  </si>
  <si>
    <t>Divorciado</t>
  </si>
  <si>
    <t>Administrador de Empresas</t>
  </si>
  <si>
    <t xml:space="preserve">San José, Calles 36 y 38, Avenida 4, Paseo Colón, Mata Redonda.  O al correo eric.arauz@agrotec.net; </t>
  </si>
  <si>
    <t>Ana Cecilia Angulo Segura</t>
  </si>
  <si>
    <t>4081-1010</t>
  </si>
  <si>
    <t>San José, Calles 36 y 38, Avenida 4, Paseo Colón, Mata Redonda.</t>
  </si>
  <si>
    <t>Lunes a Viernes de 7:15 am-12:00 md</t>
  </si>
  <si>
    <t>Agrotec</t>
  </si>
  <si>
    <t xml:space="preserve">20-12-22: Por favor cambiar al representante de Agrotec ante ECA, eliminar a Alejandra Montenegro, en su lugar queda Priscila Meléndez Vargas, este es su correo priscila.melendez@agrotec.net
</t>
  </si>
  <si>
    <t>Laboratorio Clínico Médico Dr. Carlos Páez Sotela</t>
  </si>
  <si>
    <t>LE-028</t>
  </si>
  <si>
    <t>LE-022</t>
  </si>
  <si>
    <t>Dr. Marco Molina</t>
  </si>
  <si>
    <t>mamolina10@hotmail.com</t>
  </si>
  <si>
    <t>2255-0561</t>
  </si>
  <si>
    <t>2258-5026</t>
  </si>
  <si>
    <t>San José, detrás de Pollo Campero en la Sabana.</t>
  </si>
  <si>
    <t>Servicios Clinicos la Sabana 3-101-570114</t>
  </si>
  <si>
    <t>Carlos R Paez Sotela</t>
  </si>
  <si>
    <t>9-011-206</t>
  </si>
  <si>
    <t>casado</t>
  </si>
  <si>
    <t>Alta Dirección</t>
  </si>
  <si>
    <t>Sr. Jorge Sánchez</t>
  </si>
  <si>
    <t>Servicios Clínicos La Sabana razón social</t>
  </si>
  <si>
    <t>2233-8318</t>
  </si>
  <si>
    <t>8 am a 5 pm</t>
  </si>
  <si>
    <t>Laboratorio Clínico Médico Dr. Carlos R Páez Sotela</t>
  </si>
  <si>
    <t>15.05.2018 retiro voluntario de acreditación / 07.06.2017 reducción del alcance dejando solo los ensayos de Suero, Orina y Líquido cefalorraquídeo: Glucosa AU 480 BECKMAN COULTER OSR 6521, Suero: Colesterol Total AU 480 BECKMAN COULTER OSR 6116, Suero: hTSH II ultrasensible Hormona tiroestimulant humana 7K 62-25 Arquitect de Abbott, y Suero: Antígeno Prostático Específico PSA Total 7K 70-25 Arquitect de Abbott/24.05.2016 Reducción de alcance para los ensayos de: Prolactina humana en suero, Fenitoína  7ª en suero, Carbamazepina en suero
/ 08.09.2015 Reducción parcial del alcance  para los siguientes ensayos: Canabinoides 3B28-20 Arquitect de Abbott y Cocaína metabolitos 3B24-20 Arquitect Abbott. Reducción de alcance 25.08.2015 de los siguientes ensayos: Ferritina,  Reducción de alcance 14.01.2014 para los siguientes ensayos Digoxina, DL Colesterol Por fórmula Y Globulinas séricas Por fórmula</t>
  </si>
  <si>
    <t>Laboratorio de Hidrocarburos, Laboratorio Costarricense de Metrología</t>
  </si>
  <si>
    <t>Instituto Costarricense de Electricidad</t>
  </si>
  <si>
    <t>Licda. Ileana Hidalgo</t>
  </si>
  <si>
    <t>ihidalgo@lacomet.go.cr</t>
  </si>
  <si>
    <t>2224-3502</t>
  </si>
  <si>
    <t>2283-5133</t>
  </si>
  <si>
    <t>Ciudad de la investigación, San Pedro de Montes de Oca, Costa Rica.</t>
  </si>
  <si>
    <t>Laboratorio Costarricense de Metrología</t>
  </si>
  <si>
    <t>Centro para Investigaciones en Granos y Semillas CIGRAS-UCR</t>
  </si>
  <si>
    <t>LE-030</t>
  </si>
  <si>
    <t>Lic. Erika Villalobos Chaves</t>
  </si>
  <si>
    <t>erika.villalobos@ucr.ac.cr</t>
  </si>
  <si>
    <t>mariaveronica.campos@ucr.ac.cr</t>
  </si>
  <si>
    <t>2511-8823 2511-3517</t>
  </si>
  <si>
    <t>2511-4346</t>
  </si>
  <si>
    <t>San José, Universidad de Costa Rica, Sede Rodrigo Facio, Contiguo a la Fac. de Ciencias Agroalimentarias, San Pedro de Montes de Oca.</t>
  </si>
  <si>
    <t>Doctor en Economía, Control y Gestión de Entidades y Políticas Públicas</t>
  </si>
  <si>
    <t>carlos.arayaleandro@ucr.ac.cr
tel: 2511-1212</t>
  </si>
  <si>
    <t>Jefatura Administrativa</t>
  </si>
  <si>
    <t>M.B.A Armando Alvarado Luna</t>
  </si>
  <si>
    <t>2511 8822</t>
  </si>
  <si>
    <t>De lunes a viernes, de 8:00 a.m- 4:00 p.m.</t>
  </si>
  <si>
    <t>Laboratorio de Análisis Ambiental, Universidad Nacional</t>
  </si>
  <si>
    <t xml:space="preserve">Universidad Nacional </t>
  </si>
  <si>
    <t>LE-031</t>
  </si>
  <si>
    <t>LE-024</t>
  </si>
  <si>
    <t>José Felix Rojas Marin</t>
  </si>
  <si>
    <t>jose.rojas.marin@una.cr</t>
  </si>
  <si>
    <t>alejandra.gamboa@una.cr
laa@una.ac.cr</t>
  </si>
  <si>
    <t>2277-3292 EXT: 3508</t>
  </si>
  <si>
    <t>2277-3696</t>
  </si>
  <si>
    <t>Heredia, Edificio Rectoría de la UNA, Calle 9 Avenida central y primera.Laboratorio de Análisis Ambiental Tercer Piso,
Escuela de Ciencias Ambientales, Campus Omar Dengo, UNA</t>
  </si>
  <si>
    <t>4-000-042150-140</t>
  </si>
  <si>
    <t>oe</t>
  </si>
  <si>
    <t>Jorge Herrera Murillo</t>
  </si>
  <si>
    <t>Doctor en Ciencias de la Tierra con énfasis en Física de la Atmósfera</t>
  </si>
  <si>
    <t>Heredia, Edificio Rectoría de la UNA, Calle 9 Avenida central y primera</t>
  </si>
  <si>
    <t>rectoria@una.cr</t>
  </si>
  <si>
    <t>Rector de la Universidad Nacional</t>
  </si>
  <si>
    <t>Kerlyn Sánchez Campos</t>
  </si>
  <si>
    <t>FUNDAUNA</t>
  </si>
  <si>
    <t>2263-7444</t>
  </si>
  <si>
    <t>kerlin.sanchez.campos@una.cr;  kersc_15@hotmail.com;</t>
  </si>
  <si>
    <t>De 8:00 a.m. hasta las 5:00 p.m</t>
  </si>
  <si>
    <t>UNA</t>
  </si>
  <si>
    <t>Suspensión parcial voluntario del 22/1/24 al 22/1/25</t>
  </si>
  <si>
    <t xml:space="preserve"> Laboratorio de Ensayo Compañía Asesora de Construcción e Ingeniería S.A. CACISA</t>
  </si>
  <si>
    <t xml:space="preserve"> Compañía Asesora de Construcción e Ingeniería CACISA Sociedad Anónima </t>
  </si>
  <si>
    <t>LE-032</t>
  </si>
  <si>
    <t>Ing. Elda Patricia Daniels Chang</t>
  </si>
  <si>
    <t>pdaniels@cacisa.cr</t>
  </si>
  <si>
    <t>rzuniga@cacisa.cr</t>
  </si>
  <si>
    <t>2244-0548</t>
  </si>
  <si>
    <t>2244-1385</t>
  </si>
  <si>
    <t>Heredia, de la iglesia de Santa Rosa, 200 m oeste y 750 m norte, Sto. Domingo.</t>
  </si>
  <si>
    <t>3-101-036290</t>
  </si>
  <si>
    <t>Rodolfo De León  rdeleon@cacisa.cr</t>
  </si>
  <si>
    <t>Ingeniero Civil</t>
  </si>
  <si>
    <t>Heredia, de la iglesia de Santa Rosa, 200 oeste y 750 norte, Sto. Domingo.</t>
  </si>
  <si>
    <t>Director General</t>
  </si>
  <si>
    <t>psalas@cacisa.cr</t>
  </si>
  <si>
    <t>Paula Salas cuentas por pagar</t>
  </si>
  <si>
    <t>L-V de 7:30 a.m. a 5:30 p.m.</t>
  </si>
  <si>
    <t>CACISA</t>
  </si>
  <si>
    <t>Centro de Investigaciones en Nutrición Animal CINA-UCR</t>
  </si>
  <si>
    <t>LE-033</t>
  </si>
  <si>
    <t>LE-038</t>
  </si>
  <si>
    <t>A03: 16/06/2025</t>
  </si>
  <si>
    <t>Gerardo Soto Rodríguez</t>
  </si>
  <si>
    <t>calidad.cina@ucr.ac.cr</t>
  </si>
  <si>
    <t>calidad.cina@gmail.com</t>
  </si>
  <si>
    <t>2511-2028 / 2511-2049</t>
  </si>
  <si>
    <t>2234-2415</t>
  </si>
  <si>
    <t>San José, 150 m oeste y 25 m  sur de la UNED carretera a Sabanilla de Montes de Oca.</t>
  </si>
  <si>
    <t>Doctor en Biología con especialidad en Genética</t>
  </si>
  <si>
    <t>San José, Sede Univesitaria Rodrigo Facio, Edificio Administrativo B, Segundo Piso, Oficina de Rectoría, San Pedro de Montes de Oca</t>
  </si>
  <si>
    <t>Jenny Ascencio Ayala</t>
  </si>
  <si>
    <t>San José, 150 oeste y 25 sur de la UNED carretera a Sabanilla de Montes de Oca.</t>
  </si>
  <si>
    <t>L-V 8:00am a 4:30pm</t>
  </si>
  <si>
    <t>La Gerencia de Calidad será asumida por el Bach. Fabio Granados Chinchilla, la Dra.  Guadalupe Molina Chavarría será a su vez sustito de éste.</t>
  </si>
  <si>
    <t>Centro de Investigaciones Agronómicas CIA UCR</t>
  </si>
  <si>
    <t>LE-036</t>
  </si>
  <si>
    <t>Marianela Blanco Morice</t>
  </si>
  <si>
    <t>sistemacalidad.cia@ucr.ac.cr
marianela.blancomorice@ucr.ac.cr</t>
  </si>
  <si>
    <t>freddy.blanco@ucr.ac.cr
gestoriatecnica.lsf@ucr.ac.cr</t>
  </si>
  <si>
    <t>2511-2072
2511-3112
2511-2079</t>
  </si>
  <si>
    <t>2234-1627</t>
  </si>
  <si>
    <t>San José, Ciudad de la Investigación, Finca 2 UCR, de la UNED carretera a Sabanilla, 175 m este y 100 m sur, edificio de 3 pisos a mano  izquierda, Montes de Oca.</t>
  </si>
  <si>
    <t>María Gabirela Villegas Jefatura Administrativa CIA</t>
  </si>
  <si>
    <t>2511-2053</t>
  </si>
  <si>
    <t>San José, Ciudad de la Investigación, Finca 2 UCR, de la UNED carretera a Sabanilla, 175 este y 75 sur, Montes de Oca.</t>
  </si>
  <si>
    <t>Lunes a Viernes de 8 a.m. a 5 p.m.</t>
  </si>
  <si>
    <t>La factura debe venir a nombre de FUNDEVI pero debe entregarse en el CIA</t>
  </si>
  <si>
    <t>Consultora Costarricense para Programas de Desarrollo S.A COPRODESA</t>
  </si>
  <si>
    <t>LC-038</t>
  </si>
  <si>
    <t>LC-031</t>
  </si>
  <si>
    <t>Jean Carlo Sandí Jiménez
Sara Granados</t>
  </si>
  <si>
    <t>jsandi@coprodesa.com</t>
  </si>
  <si>
    <t>sgranados@coprodesa.com</t>
  </si>
  <si>
    <t>2528-5880</t>
  </si>
  <si>
    <t>2283-1838</t>
  </si>
  <si>
    <t>San José, 75 m Sur de la Mitsubishi, Curridabat.</t>
  </si>
  <si>
    <t>3-101-026507</t>
  </si>
  <si>
    <t>Mario Longan Espinoza</t>
  </si>
  <si>
    <t>1-0369-0348</t>
  </si>
  <si>
    <t>Empresario</t>
  </si>
  <si>
    <t>San José, 75 Sur de la Mitsubishi, Curridabat.</t>
  </si>
  <si>
    <t>No tiene cargo en el Laboratorio sin embargo es parte de la Junta Directiva de la Empresa</t>
  </si>
  <si>
    <t>Jennifer Mejía Castro</t>
  </si>
  <si>
    <t>COPRODESA</t>
  </si>
  <si>
    <t>Todos los jueves de 9 a.m. a 5 p.m. (jornada continua)</t>
  </si>
  <si>
    <t>25/5/23: Con respecto a los representantes ante el ECA, se procede de la siguiente manera:
Eliminar a Alonso Porras Cabezas como representante.
Mantener a Jean Carlo Sandí Jiménez como representante.
Agregar a Sara Granados Valverde como representante.
De ahora en adelante por favor dirigirse a los siguientes correos para las notificaciones y avisos que nos deban dar:
jsandi@coprodesa.com - Jean Carlo Sandí
sgranados@coprodesa.com - Sara Granados</t>
  </si>
  <si>
    <t>Laboratorio de Ensayo del Centro de Electroquímica y Energía Química CELEQ</t>
  </si>
  <si>
    <t>LE-040</t>
  </si>
  <si>
    <t>LE-037</t>
  </si>
  <si>
    <t>A07: 28/04/2025</t>
  </si>
  <si>
    <t>Mariann Guillén Osorno</t>
  </si>
  <si>
    <t>calidad.celeq@ucr.ac.cr direccion.celeq@ucr.ac.cr</t>
  </si>
  <si>
    <t>jean.sanabria@ucr.ac.cr</t>
  </si>
  <si>
    <t>2511-2487</t>
  </si>
  <si>
    <t> 2511-2484</t>
  </si>
  <si>
    <t>San José, U.C.R Ciudad de la Investigación, San Pedro de Montes de Oca.</t>
  </si>
  <si>
    <t>Licda. Marjorie Badilla</t>
  </si>
  <si>
    <t>Fundevi</t>
  </si>
  <si>
    <t>2511-3217</t>
  </si>
  <si>
    <t>2511-3211</t>
  </si>
  <si>
    <t>8 a.m. a 4 p.m.</t>
  </si>
  <si>
    <t>La Factura debe venir a nombre de Fundevi, pero se debe recibir en el Celeq primero para enviar el trámite a Fundevi</t>
  </si>
  <si>
    <t>Laboratorio de Aseguramiento de la Calidad, Ingenio Taboga</t>
  </si>
  <si>
    <t>LE-041</t>
  </si>
  <si>
    <t>LE-074</t>
  </si>
  <si>
    <t>Martha Nuñez Torres</t>
  </si>
  <si>
    <t>mnunez@taboga.cr</t>
  </si>
  <si>
    <t>gdiaz@taboga.cr; jrodriguez@chemlabsonline.com</t>
  </si>
  <si>
    <t>2674 0935 ext 1323</t>
  </si>
  <si>
    <t>Guanacaste, Bebedero, Cañas.
Para notificaciones: 
San José, Almacén Carazo en la Uruca</t>
  </si>
  <si>
    <t>Guanacaste</t>
  </si>
  <si>
    <t>3-101-024153-03</t>
  </si>
  <si>
    <t>Daniel Carvajal Carvajal</t>
  </si>
  <si>
    <t>administrador de empresas.</t>
  </si>
  <si>
    <t>San José, Almacén Carazo en La Uruca</t>
  </si>
  <si>
    <t>Taboga</t>
  </si>
  <si>
    <t>Se le solicito en varias ocasiones la información faltante para completarla en el Directorio, sin obtener respuesta.</t>
  </si>
  <si>
    <t>Laboratorio Metrológico de Variables Eléctricas, LMVE-ICE</t>
  </si>
  <si>
    <t>LC-042</t>
  </si>
  <si>
    <t>LC-036/125</t>
  </si>
  <si>
    <t xml:space="preserve">Javier Robles Cordero, Blanca Castro Blanco,Lucrecia Montero Aguilar </t>
  </si>
  <si>
    <t>JRoblesCo@ice.go.cr</t>
  </si>
  <si>
    <t>BCastro@ice.go.cr;</t>
  </si>
  <si>
    <t>2001-2374/75</t>
  </si>
  <si>
    <t>San José, Edificio ICE, Quinto Piso, Puerta # 11, San Pedro de Montes de Oca.</t>
  </si>
  <si>
    <t>Luis Pacheco Morgan </t>
  </si>
  <si>
    <t> 104620902</t>
  </si>
  <si>
    <t>Casado </t>
  </si>
  <si>
    <t>Costarricense </t>
  </si>
  <si>
    <t>Ingeniero Químico </t>
  </si>
  <si>
    <t>San José,  400 norte del edificio central del ICE, puesto de guarda a mano izquierda, edificio UEN PySA, piso 1, Sabana norte.</t>
  </si>
  <si>
    <t>Gerente Sector Energía</t>
  </si>
  <si>
    <t>Carmen Elena Rojas Zumbado</t>
  </si>
  <si>
    <t>2000-5485</t>
  </si>
  <si>
    <t>San José, Edificio UEN PySA, 3° Piso, Centro de Servicio Investigación y Desarrollo, Sabana Norte.</t>
  </si>
  <si>
    <t>2220-8684</t>
  </si>
  <si>
    <t>JRoblesCo@ice.go.cr; BCastro@ice.go.cr;</t>
  </si>
  <si>
    <t>7 am a 4:36 pm de L a V</t>
  </si>
  <si>
    <t>ICE</t>
  </si>
  <si>
    <t>12.01.2016 reducción de alcance para las calibraciones de resistencia CD, medidores de resistencia CD,  valores intermedios, Teraohmetros de 10 - 100 MW   y de 1 - 100 GW</t>
  </si>
  <si>
    <t>Unidad de Laboratorio Metrológicos del Negocio Generación</t>
  </si>
  <si>
    <t>LC-042/138</t>
  </si>
  <si>
    <t>A01: 7-6-21
A02: 26-4-23</t>
  </si>
  <si>
    <t>Javier Robles Cordero, Blanca Castro Blanco</t>
  </si>
  <si>
    <t>BCastro@ice.go.cr</t>
  </si>
  <si>
    <t>2000-4517 o 2001-2374</t>
  </si>
  <si>
    <t>Plantel ICE Colima, Tibás, San José.</t>
  </si>
  <si>
    <t>https://www.grupoice.com/wps/portal/ICE/electricidad/laboratorioss/lab</t>
  </si>
  <si>
    <t>José Joaquín Granados Ramírez</t>
  </si>
  <si>
    <t>Soltero</t>
  </si>
  <si>
    <t>Ingeniero Electromecánico</t>
  </si>
  <si>
    <t>San José, Mata Redonda, Sabana Sur, Edificio ICE, Torre de Telecomunicaciones, Piso # 14
División Generación
San José, Costa Rica</t>
  </si>
  <si>
    <t>jogranados@ice.go.cr</t>
  </si>
  <si>
    <t>Jefe División Generación</t>
  </si>
  <si>
    <t>Cadena de Abastecimiento - División Generación</t>
  </si>
  <si>
    <t>Sandra Hidalgo Cabrera</t>
  </si>
  <si>
    <t>2000-3087</t>
  </si>
  <si>
    <t>shidalgo@ice.go.cr</t>
  </si>
  <si>
    <t>L a V de 7 am a 4:36 pm</t>
  </si>
  <si>
    <t>2020.08.19: Se acuerda unificar los laboratorio LACALI y LMVE y crear este OEC. // 12.01.2016 reducción de alcance para las calibraciones de resistencia CD, medidores de resistencia CD,  valores intermedios, Teraohmetros de 10 - 100 MW   y de 1 - 100 GW</t>
  </si>
  <si>
    <t xml:space="preserve">Laboratorio Punta Morales LAICA </t>
  </si>
  <si>
    <t xml:space="preserve">Liga Agricola Industrial de la caña de azucar </t>
  </si>
  <si>
    <t>LE-043</t>
  </si>
  <si>
    <t>LE-044</t>
  </si>
  <si>
    <t>Reyner Alpízar Medina</t>
  </si>
  <si>
    <t>ralpizar@laica.co.cr</t>
  </si>
  <si>
    <t>2661-0884 ext:129</t>
  </si>
  <si>
    <t>2661-0566</t>
  </si>
  <si>
    <t>Puntarenas, Punta Morales de Chomes.</t>
  </si>
  <si>
    <t>Puntarenas</t>
  </si>
  <si>
    <t>3-007-42036</t>
  </si>
  <si>
    <t>Edgar Herrera Echadi</t>
  </si>
  <si>
    <t>1-522-0490</t>
  </si>
  <si>
    <t>costarricese</t>
  </si>
  <si>
    <t>Administrador de negocios</t>
  </si>
  <si>
    <t>San José, detrás del Ministerio de Trabajo, Barrio Tournon.</t>
  </si>
  <si>
    <t>No tiene</t>
  </si>
  <si>
    <t>Gabriela Sánchez</t>
  </si>
  <si>
    <t>LAICA</t>
  </si>
  <si>
    <t>msanchez@laica.co.cr</t>
  </si>
  <si>
    <t>09:00 a 10:30</t>
  </si>
  <si>
    <t>No</t>
  </si>
  <si>
    <t>Laboratorio de Pruebas Físicas de Producto Terminado de Bridgestone de Costa Rica S.A.</t>
  </si>
  <si>
    <t xml:space="preserve">Bridgestone de Costa Rica Sociedad Anónima </t>
  </si>
  <si>
    <t>Carlos Alberto Martínez Sanchez/ Rixi Leiva</t>
  </si>
  <si>
    <t>martinezsanchezcarlos@la-bridgestone.com</t>
  </si>
  <si>
    <t xml:space="preserve"> LeivaRixi@la-bridgestone.com</t>
  </si>
  <si>
    <t>2209-7381/2209-7385
2209-7300 extensión 7083.</t>
  </si>
  <si>
    <t>2209-7301</t>
  </si>
  <si>
    <t>Heredia, La Ribera, Kilometro 11, Autopista General Cañas, Belén.</t>
  </si>
  <si>
    <t>3-101-008915</t>
  </si>
  <si>
    <t>https://www.bridgestone.co.cr</t>
  </si>
  <si>
    <t>José
Fernando Lopez Lopez.</t>
  </si>
  <si>
    <t>Salvadoreño</t>
  </si>
  <si>
    <t>Country Manager -Costa Rica Plant</t>
  </si>
  <si>
    <t>Allan Soto Castrillo</t>
  </si>
  <si>
    <t>Bridgestone de Costa Rica S.A</t>
  </si>
  <si>
    <t>de L a V de 8:00 am a 5 pm.</t>
  </si>
  <si>
    <t>Laboratorio de Pruebas Físicas de Producto Terminado de Bridgestone de Costa Rica S.A.|</t>
  </si>
  <si>
    <t xml:space="preserve">Laboratorio del Centro Nacional de Ciencia y Tecnología de Alimentos CITA  - UCR                   </t>
  </si>
  <si>
    <t>LE-045</t>
  </si>
  <si>
    <t>LE-035</t>
  </si>
  <si>
    <t>Vanny Mora Villalobos</t>
  </si>
  <si>
    <t>vanny.mora@ucr.ac.cr</t>
  </si>
  <si>
    <t>marcy.gonzalez@ucr.ac.cr</t>
  </si>
  <si>
    <t>San José, UCR, Detrás de la Facultad de Agronomía, San Pedro Montes de Oca</t>
  </si>
  <si>
    <t>Fundación de la Universidad de Costa Rica para la Investigación</t>
  </si>
  <si>
    <t>2511-1777</t>
  </si>
  <si>
    <t>2225-3876</t>
  </si>
  <si>
    <t>8am a 4pm</t>
  </si>
  <si>
    <t xml:space="preserve"> 26.07.2017  reducción ensayode química para productos lacteos - Grasa método SA-MQ-008 / Reducción de alcance 25.08.2015 para los ensayos de: Prueba triangular, prueba de comparación por pares, prueba de duo trío y prueba de tres alternativas de selección forzada.</t>
  </si>
  <si>
    <t>LC-047</t>
  </si>
  <si>
    <t>LC-039</t>
  </si>
  <si>
    <t>mnunez@taboga.co.cr  </t>
  </si>
  <si>
    <t>2283-6580</t>
  </si>
  <si>
    <t>Ciudad de la Investigación, San Pedro de Montes de Oca, Costa Rica</t>
  </si>
  <si>
    <t>LACOMET</t>
  </si>
  <si>
    <t>Laboratorio Nacional de Servicios Veterinarios LANASEVE</t>
  </si>
  <si>
    <t>Servicio Nacional de Salud Animal (SENASA)</t>
  </si>
  <si>
    <t>LE-048</t>
  </si>
  <si>
    <t>Jeremy Barrantes Zamora</t>
  </si>
  <si>
    <t>jjbarrantesz@senasa.go.cr
fchaverri@senasa.go.cr</t>
  </si>
  <si>
    <t>Para temas legales: german.rojas.h@senasa.go.cr, bernardita.rojas.c@senasa.go.cr</t>
  </si>
  <si>
    <t xml:space="preserve">2587-1785 </t>
  </si>
  <si>
    <t xml:space="preserve">2260-8300 ext  2345 </t>
  </si>
  <si>
    <t xml:space="preserve">Lagunilla Heredia, 2 Km. Oeste y 500  metros Norte de Jardines del Recuerdo, en el Campus Universitario Benjamín Núñez, </t>
  </si>
  <si>
    <t>3-007-475206</t>
  </si>
  <si>
    <t>Luis Alberto Matamoros Cortés</t>
  </si>
  <si>
    <t>6-0289-0018</t>
  </si>
  <si>
    <t>Médico Veterinario</t>
  </si>
  <si>
    <t>Heredia, Cantón Central, Distrito Ulloa, Lagunilla, Campus
Benjamín Núñez.2 km Oeste y 500 m Norte de Jardines del Recuerdo</t>
  </si>
  <si>
    <t> luis.matamoros.c@senasa.go.cr</t>
  </si>
  <si>
    <t>Director General del Servicio Nacional de Salud Animal (SENASA)</t>
  </si>
  <si>
    <t>Dirección Administrativa Financiera del SENASA, Departamento de Recursos Materiales</t>
  </si>
  <si>
    <t>Jose Luis Meneses Guevara</t>
  </si>
  <si>
    <t>22571600 o 22571613</t>
  </si>
  <si>
    <t>Heredia, 2 Km. Oeste y 500 Norte de Jardines del Recuerdo, en el Campus Universitario Benjamín Núñez, Lagunilla.</t>
  </si>
  <si>
    <t>22386169 o 22620226</t>
  </si>
  <si>
    <t>7:30 a 15:30</t>
  </si>
  <si>
    <t>MAG - Senasa</t>
  </si>
  <si>
    <t>Acuerdo Ministerial número N° 001-2023-MAG de fecha 11 de septiembre de 2023,
publicado en el Diario Oficial La Gaceta número 178 del 28 de septiembre de 2023; se nombró al señor
Luis Alberto Matamoros Cortés,</t>
  </si>
  <si>
    <t xml:space="preserve"> Ingeniería Técnica de Proyectos ITP</t>
  </si>
  <si>
    <t xml:space="preserve"> Ingeniería Técnica de Proyectos ITP Sociedad Anónima</t>
  </si>
  <si>
    <t>LE-050</t>
  </si>
  <si>
    <t>A16: 6/12/2024</t>
  </si>
  <si>
    <t>Shirleny Salas Picado </t>
  </si>
  <si>
    <t xml:space="preserve">shirleny.salas@itp.cr </t>
  </si>
  <si>
    <t>oscar.martinez@itp.cr</t>
  </si>
  <si>
    <t>2220-1400 ext:  2005/2009/2010</t>
  </si>
  <si>
    <t>2290-9295</t>
  </si>
  <si>
    <t>San José, Contiguo a Repretel, diagonal al AMPM, La Uruca.</t>
  </si>
  <si>
    <t>3-101-362220</t>
  </si>
  <si>
    <t>Marcela Bonilla Verdesia</t>
  </si>
  <si>
    <t>Alejandra Acuña</t>
  </si>
  <si>
    <t xml:space="preserve">2220-1400 </t>
  </si>
  <si>
    <t>2296-2382</t>
  </si>
  <si>
    <t>Lunes a Viernes 8 am a 5 pm</t>
  </si>
  <si>
    <t>ITP</t>
  </si>
  <si>
    <t>* Ampliación 22709/2016 /11.08.2017 Reducción de alcance para  el ensayo suelo  - cemento para la determinación de suelo - cemento para el metodo ITP-IT-064 método de ensayo para la elaboración y curado de especímenes de laboratorio para los ensayos de comprensión y Flexión de muestras de suelo cemento / 15.12.2016 Reducción de alcance para los ensayos de la sede Panamá ver acta CA-2016-040 / 12.04.2016 reducción de alcance para el metodos de ensayo  ITP-IT-52 Método Superpave para mezclado y compactación de mezcla asfáltica en caliente 
12.08.2014 Reducción del método ITP-IT-11 densidad de parafina a 25°C en mezclas asfálaticas</t>
  </si>
  <si>
    <t>CHEMLABS</t>
  </si>
  <si>
    <t>CHEMLABS SOCIEDAD ANÓNIMA</t>
  </si>
  <si>
    <t>LE-051</t>
  </si>
  <si>
    <t>José Armando Rodríguez Solano</t>
  </si>
  <si>
    <t>jrodriguez@chemlabsonline.com</t>
  </si>
  <si>
    <t>2234-6339</t>
  </si>
  <si>
    <t>2283-9869</t>
  </si>
  <si>
    <t>Cartago, #42 Residencial Monzerrat Concepción de la Unión.</t>
  </si>
  <si>
    <t>3-101-492724</t>
  </si>
  <si>
    <t>Jose Armando Rodriguez Solano</t>
  </si>
  <si>
    <t>1-06710412</t>
  </si>
  <si>
    <t>Lic. Químico</t>
  </si>
  <si>
    <t>San José, #192 Residencial Altamonte, Granadilla de Curridabat.</t>
  </si>
  <si>
    <t>Jefe del Laboratorio</t>
  </si>
  <si>
    <t>Blanca Ramirez</t>
  </si>
  <si>
    <t>8 am-5pm</t>
  </si>
  <si>
    <t>Chem labs</t>
  </si>
  <si>
    <t>Laboratorio de Control de Calidad de Industria Farmacéutica S.A. de C.V. (calibración)</t>
  </si>
  <si>
    <t>LC-052</t>
  </si>
  <si>
    <t>Brenda Xiomara Miranda Bueso</t>
  </si>
  <si>
    <t>(504) 2225-1272</t>
  </si>
  <si>
    <t>(504) 2225-0271</t>
  </si>
  <si>
    <t>Honduras</t>
  </si>
  <si>
    <t>Col El Prado, atrás de Corporacion Flores TOYOTA</t>
  </si>
  <si>
    <t>0401-1977-01951</t>
  </si>
  <si>
    <t>Liliana Andonie</t>
  </si>
  <si>
    <t>0801-1958-04265</t>
  </si>
  <si>
    <t>Hondureña</t>
  </si>
  <si>
    <t>Lic. En Administración de empresas</t>
  </si>
  <si>
    <t>Junta Directiva</t>
  </si>
  <si>
    <t>Cinthia Vasquez</t>
  </si>
  <si>
    <t>Iris Martínez</t>
  </si>
  <si>
    <t>(504) 22251272</t>
  </si>
  <si>
    <t>(504) 22250271</t>
  </si>
  <si>
    <t>08 h 00 a 15 h00 de Lunes a Viernes</t>
  </si>
  <si>
    <t>Industria Farmacéutica S.A. de C.V.</t>
  </si>
  <si>
    <t>Retiro de acreditación 09.12.2014</t>
  </si>
  <si>
    <t>Laboratorio de Control de Calidad de Industria Farmacéutica S.A. de C.V. (ensayos)</t>
  </si>
  <si>
    <t>LE-053</t>
  </si>
  <si>
    <t>(504)2225-0271</t>
  </si>
  <si>
    <t xml:space="preserve">Industria Farmacéutica S.A. de C.V. </t>
  </si>
  <si>
    <t>Metrología Consultores S.A.</t>
  </si>
  <si>
    <t xml:space="preserve">Metrología Consultores Sociedad Anónima </t>
  </si>
  <si>
    <t>LC-054</t>
  </si>
  <si>
    <t>LC-046</t>
  </si>
  <si>
    <t>Luis Miranda </t>
  </si>
  <si>
    <t> lmiranda@metrocal.co.cr</t>
  </si>
  <si>
    <t xml:space="preserve"> gerentecalidad@metrocalcr.com
administracion@metrocalcr.com </t>
  </si>
  <si>
    <t>2280-1347</t>
  </si>
  <si>
    <t>2253-4687</t>
  </si>
  <si>
    <t>San José, de la Municipalidad 75 este, 175 m sur, frente al Minisuper Victoria, Guadalupe.</t>
  </si>
  <si>
    <t>3-101-194426</t>
  </si>
  <si>
    <t>Marco V. Martínez Quesada</t>
  </si>
  <si>
    <t>1-0629-0585</t>
  </si>
  <si>
    <t>Físico y Meteorólogo</t>
  </si>
  <si>
    <t>Responsable Técnico</t>
  </si>
  <si>
    <t>Sharon Chavarría Pérez</t>
  </si>
  <si>
    <t>San José, de la Municipalidad 75 este, 175 sur, frente al Minisuper Victoria, Guadalupe.</t>
  </si>
  <si>
    <t>L-V                    7:30 am a 5:00 pm</t>
  </si>
  <si>
    <t>Laboratorio Nacional de Aguas AyA</t>
  </si>
  <si>
    <t>Instituto Costarricense de Acueductos y Alcantarillados</t>
  </si>
  <si>
    <t>LE-055</t>
  </si>
  <si>
    <t>LE-049</t>
  </si>
  <si>
    <t>LE-049-A01 13 de julio del 2007.
LE-049-A02 06 de diciembre del 2011.
LE-049-A03 01 de julio del 2014.
LE-049-A04 09 de febrero del 2016.
LE-049-A05 10 de mayo del 2016.
LE-049-A06 01 de diciembre del 2017.
LE-049-A07 30 de octubre del 2018.
LE-049-A08 22 de febrero del 2022.
LE-049-A09 08 de abril del 2022.</t>
  </si>
  <si>
    <t>Ilena Vega Guzmán</t>
  </si>
  <si>
    <t>ivega@aya.go.cr</t>
  </si>
  <si>
    <t>nalfaro@aya.go.cr</t>
  </si>
  <si>
    <t>2242-5000, ext. 6538</t>
  </si>
  <si>
    <t>2279-5973</t>
  </si>
  <si>
    <t>Cartago, 400 m norte del edificio municipal,  La Unión de Tres Ríos.</t>
  </si>
  <si>
    <t>4-000-042138</t>
  </si>
  <si>
    <t>José Alberto Moya  Segura</t>
  </si>
  <si>
    <t>1-0538-0956</t>
  </si>
  <si>
    <t> Ingeniero Industrial  </t>
  </si>
  <si>
    <t>Cartago, 400 Norte de la Municipalidad de Tres Ríos, La Unión</t>
  </si>
  <si>
    <t> Gerente General.</t>
  </si>
  <si>
    <t>Lic. Marco Antonio Sequeira Barquero</t>
  </si>
  <si>
    <t>Cartago, 400 norte del edificio municipal,  La Unión de Tres Ríos.</t>
  </si>
  <si>
    <t>07:45 - 16:00</t>
  </si>
  <si>
    <t>A Y A</t>
  </si>
  <si>
    <t>OJM Consultores de Calidad y Laboratorios S.A.</t>
  </si>
  <si>
    <t xml:space="preserve">OJM Consultores de Calidad y Laboratorios Sociedad Anónima </t>
  </si>
  <si>
    <t>LE-056</t>
  </si>
  <si>
    <t>LE-066</t>
  </si>
  <si>
    <t>LE-066-A01: 26 de abril del 2011.
LE-066-A02: 28 de octubre del 2014.
LE-066-A03: 26 de enero del 2016.
LE-066-A04: 26 de enero del 2016.
LE-066-A05: 08 de diciembre del 2016.
LE-066-A06: 29 de diciembre del 2016.
LE-066-A07: 11 de mayo del 2017.
LE-066-A08:27de Octubredel2017.
LE-066-A09: 17 de junio 2021.
LE-066-A10: 24 de agosto del 2021.</t>
  </si>
  <si>
    <t>José Luis Loría Álvarez
Alfredo Salas Murillo</t>
  </si>
  <si>
    <t xml:space="preserve">calidad@ojmconsultores.com </t>
  </si>
  <si>
    <t>a.salas@ojmconsultores.com</t>
  </si>
  <si>
    <t>2226-4078 / 83273421</t>
  </si>
  <si>
    <t>San Jose, Curridabat, Curridabat. Del Archivo Nacional, 50 metros este, junto a CRECEX de Costa Rica.</t>
  </si>
  <si>
    <t xml:space="preserve">3-101-449145 </t>
  </si>
  <si>
    <t>N.A</t>
  </si>
  <si>
    <t>Alfredo Salas Murillo</t>
  </si>
  <si>
    <t>1-1125-0222</t>
  </si>
  <si>
    <t>sociólogo</t>
  </si>
  <si>
    <t>No indica</t>
  </si>
  <si>
    <t>2226-4078 / 8327-3421</t>
  </si>
  <si>
    <t>50 metros al este y 25 metros al sur del Archivo Nacional, Curridabat, San José.</t>
  </si>
  <si>
    <t>facturacion@ojmconsultores.com</t>
  </si>
  <si>
    <t>8:00 am a 5:00pm de Lunes a Viernes</t>
  </si>
  <si>
    <t xml:space="preserve">14/6/2019. Transición a la Norma INTE-ISO/IEC 17025:2017 y mantenimiento de acreditación </t>
  </si>
  <si>
    <t>LGC Ingeniería de Pavimentos S.A.</t>
  </si>
  <si>
    <t>LGC Ingeniería en Pavimentos, Sociedad Anónima</t>
  </si>
  <si>
    <t>LE-057</t>
  </si>
  <si>
    <t>LE-054</t>
  </si>
  <si>
    <t>Acreditación Número: 14 de junio del 2011
Acreditación Número: 10 de julio del 2012
Acreditación Número: 23 de julio del 2013
Acreditación Número: 01 de julio del 2014
Acreditación Número: 11 de agosto del 2015
Acreditación Número: 21 de diciembre del 2016
Acreditación Número: 10 de octubre del 2017
Acreditación Número: 28 de febrero del 2018
Acreditación Número: 21 de enero del 2019
Acreditación Número: 06 de agosto del 2020
Acreditación Número: 22 de marzo del 2021
Acreditación Número: 16 de septiembre del 2021
Acreditación Número: 19 de junio del 2023</t>
  </si>
  <si>
    <t>José Luis Loría Álvarez</t>
  </si>
  <si>
    <t>jloria@lgcingenieria.net</t>
  </si>
  <si>
    <t>amedaldi@lgcingenieria.net</t>
  </si>
  <si>
    <t>2270-55-54 / 2270-55-55</t>
  </si>
  <si>
    <t>2219-8035</t>
  </si>
  <si>
    <t>Dirección: Desamparados, San Miguel, San José, Costa Rica, de la entrada de Casa Cuba 400 metros este edificio a mano derecha color terracota.</t>
  </si>
  <si>
    <t>3-101-303726</t>
  </si>
  <si>
    <t>LUIS GUILLERMO CHAVARRIA BRAVO</t>
  </si>
  <si>
    <t>1-680-947</t>
  </si>
  <si>
    <t>Lic.Ing. Civil</t>
  </si>
  <si>
    <t>Carlos Montero Godinez</t>
  </si>
  <si>
    <t>LGC INGENIERIA DE PAVIMENTOS .A.</t>
  </si>
  <si>
    <t>2270-0555/2270-0331/                      2270-0538</t>
  </si>
  <si>
    <t>lgcingenieriadepavimentos@gmail.com;"calidadlgc@gmail.com; lgcingenieriadepavimentos@gmail.com")</t>
  </si>
  <si>
    <t>De L a V de 730 a.m. a 5:00 p.m./sabados de 7:30 a.m. a 11:00 a.m.</t>
  </si>
  <si>
    <t>Laboratorio de Aseguramiento de Calidad de Coca-Cola Industrias Ltda</t>
  </si>
  <si>
    <t>LE-058</t>
  </si>
  <si>
    <t>LE-042</t>
  </si>
  <si>
    <t>Rebeca Rodríguez / Erick Rojas Fajardo</t>
  </si>
  <si>
    <t>rebecrodriguez@coca-cola.com ; erirojas@coca-cola.com, helizondo@coca-cola.com; nayub@coca-cola.com</t>
  </si>
  <si>
    <t>2299-3487</t>
  </si>
  <si>
    <t>2223-7362</t>
  </si>
  <si>
    <t xml:space="preserve">San José, de la plaza de deportes 125 m Este, La Uruca </t>
  </si>
  <si>
    <t>3-102-279501</t>
  </si>
  <si>
    <t>Erick Rojas Fajardo</t>
  </si>
  <si>
    <t>1- 0763-0315</t>
  </si>
  <si>
    <t>CasadO</t>
  </si>
  <si>
    <t> Químico</t>
  </si>
  <si>
    <t>San José, Coca Cola Industrias LTDA, de la plaza de deportes 125 Este, contiguo a Lachner y Sáenz, La Uruca.</t>
  </si>
  <si>
    <t>Gerente General de la Planta de Concentrados de CPS Costa Rica</t>
  </si>
  <si>
    <t>Jeffrey Salas</t>
  </si>
  <si>
    <t>Jose Isaías Cubillo Herrera</t>
  </si>
  <si>
    <t>2299 3319</t>
  </si>
  <si>
    <t>De Lunes a Viernes 8:30 - 5:00</t>
  </si>
  <si>
    <t>de Coca-Cola Industrias Ltda</t>
  </si>
  <si>
    <t>Se retira la acreditación el día 2021.09.08</t>
  </si>
  <si>
    <t>Laboratorio Castro &amp; de la Torre</t>
  </si>
  <si>
    <t>Castro &amp; de la Torre</t>
  </si>
  <si>
    <t>LE-059</t>
  </si>
  <si>
    <t>19 de Setiembre del 2007
14 de Julio del 2009
23 de Febrero del 2010
11 de Enero del 2011
07 de Noviembre del 2012
26 de Noviembre del 2013
10 de Febrero del 2015
08 de Diciembre del 2016
23 de Marzo del 2018
12 de Diciembre del 2022
21 de agosto del 2023</t>
  </si>
  <si>
    <t>Ing. Oscar Picado Acuña</t>
  </si>
  <si>
    <t xml:space="preserve"> info@cyt.cr</t>
  </si>
  <si>
    <t>opicado@cyt.cr</t>
  </si>
  <si>
    <t>4010-2273</t>
  </si>
  <si>
    <t>2296-0076</t>
  </si>
  <si>
    <t>San José, 500 m oeste de la Fabrica Jack’s, frente al Ministerio de Salud, Pavas.</t>
  </si>
  <si>
    <t>3-101-007885</t>
  </si>
  <si>
    <t>Orlando De la Torre Castro</t>
  </si>
  <si>
    <t>Ingeniero Industrial</t>
  </si>
  <si>
    <t>Sub-Gerente</t>
  </si>
  <si>
    <t>Alexis Mata</t>
  </si>
  <si>
    <t>Castro &amp; De la Torre S.A.</t>
  </si>
  <si>
    <t>2232-2273</t>
  </si>
  <si>
    <t>Lunes a Viernes de 8:00 am a 5:00 pm</t>
  </si>
  <si>
    <t>29.08.2016 Reducción de alcance para los ensayos IE04, IE05, IE06, IE08, IE012, IE013, IE015, IE018 para el laboratorio sede la Guaria Guanacaste / 10.03.2015 para el ensayo: IT-02 "Práctica Normal para el Capeo de Especímenes de Concreto"</t>
  </si>
  <si>
    <t>Laboratorios de Metrología RECOPE</t>
  </si>
  <si>
    <t>LC-060</t>
  </si>
  <si>
    <t>LC-053</t>
  </si>
  <si>
    <t>Roberto Coto Rojas 
Lorena Acosta Solís</t>
  </si>
  <si>
    <t>sg.metrologia@recope.go.cr</t>
  </si>
  <si>
    <t>labmetrologia@recope.go.cr</t>
  </si>
  <si>
    <t>2550-3553/ 2550-3750/ 8310-0137/ 8824-1443</t>
  </si>
  <si>
    <t>2537-1272</t>
  </si>
  <si>
    <t xml:space="preserve">Cartago, Plantel de Distibución El Alto Recope, Ochomogo Cartago </t>
  </si>
  <si>
    <t>Alejandro Muñoz Villalobos</t>
  </si>
  <si>
    <t>1 0497 0373</t>
  </si>
  <si>
    <t xml:space="preserve">Union libre </t>
  </si>
  <si>
    <t>Economista</t>
  </si>
  <si>
    <t>Cartago. San Nicolas, Ochomogo. Ruta 2, km 12. Puesto 6.</t>
  </si>
  <si>
    <t>Patricia Soto Muñoz/ Maricela Rodriguez Cespedes</t>
  </si>
  <si>
    <t>El cliente de la factura debe ser:  Laboratorios de Metrologia RECOPE, LC-060</t>
  </si>
  <si>
    <t>2550-3750</t>
  </si>
  <si>
    <t xml:space="preserve">Cartago, Plantel de Distibución El Alto Recope, Ochomogo Cartago  </t>
  </si>
  <si>
    <t>07:00 a 15:00</t>
  </si>
  <si>
    <t>2019.07.01 Transición a la norma INTE-ISO/IEC 17025.2017 //                                 Calibración de densidad, materiales de referencia certificados, AS-15-03-025 (temperatura y húmedad)</t>
  </si>
  <si>
    <t xml:space="preserve">IMNSA Ingenieros Consultores S.A. Laboratorio de Geotecnia y Materiales </t>
  </si>
  <si>
    <t>IMNSA Ingenieros Consultores Sociedad Anónima</t>
  </si>
  <si>
    <t>S</t>
  </si>
  <si>
    <t>LE-061</t>
  </si>
  <si>
    <t>Brenda Mondragón Lagos</t>
  </si>
  <si>
    <t>calidadimnsa@gmail.com</t>
  </si>
  <si>
    <t>asistentecalidadimnsa@gmail.com</t>
  </si>
  <si>
    <t xml:space="preserve">(+506) 62805172/2234-1587 </t>
  </si>
  <si>
    <t>2225-9551</t>
  </si>
  <si>
    <t>San José, Carretera a Sabanilla del Supermercado "La Cosecha" 100 m Sur, 100 m Este y 25 m Norte, Edificio # 505, Barrio Carmiol, Montes de Oca. //Alajuela, 150 al este de Ottos,s Bar, contigui a los tanques del AyA, La Guácima.</t>
  </si>
  <si>
    <t>3-101-091498</t>
  </si>
  <si>
    <t>Carlos A. Méndez Navas</t>
  </si>
  <si>
    <t>1-268-419</t>
  </si>
  <si>
    <t xml:space="preserve">San José, Carretera a Sabanilla del Supermercado "La Cosecha" 100 Sur, 100 Este y 25 Norte, Edificio # 505, Barrio Carmiol, Montes de Oca. </t>
  </si>
  <si>
    <t>Jessica Ramirez</t>
  </si>
  <si>
    <t xml:space="preserve">Carretera a Sabanilla de Montes de Oca, del Supermercado "La Cosecha" 100 Sur, 100 Este y 25 Norte, Edificio # 505, Barrio Carmiol. </t>
  </si>
  <si>
    <t>2234-1587</t>
  </si>
  <si>
    <t>imnsai@racsa.co.cr</t>
  </si>
  <si>
    <t>Lunes a Viernes de 8:00 a.m. a 5:30 p.m.</t>
  </si>
  <si>
    <t>IMNSA</t>
  </si>
  <si>
    <t>Laboratorio de Análisis y Asesoría Farmacéutica LAYAFA-UCR</t>
  </si>
  <si>
    <t>LE-062</t>
  </si>
  <si>
    <t>LE-069</t>
  </si>
  <si>
    <t>Dra. Jeimy Blanco Barrantes</t>
  </si>
  <si>
    <t xml:space="preserve">jeimyblanco@hotmail.com; jeimy.blanco@ucr.ac.cr  </t>
  </si>
  <si>
    <t>layafa.inifar@ucr.ac.cr</t>
  </si>
  <si>
    <t>2511 -3333</t>
  </si>
  <si>
    <t>2511 3426</t>
  </si>
  <si>
    <t xml:space="preserve">San José, Primer piso, Facultad de Farmacia Universidad de Costa Rica, San Pedro de Montes de Oca. </t>
  </si>
  <si>
    <t>San José,
1. Rectoría Universidad de Costa Rica                     2. Primer Piso Facultad de Farmacia LAYAFA UCR
San Pedro de Montes de Oca.</t>
  </si>
  <si>
    <t>Jefatura administrativa del INIFAR</t>
  </si>
  <si>
    <t>Licda. Mónica Herrera Francis</t>
  </si>
  <si>
    <t>2511 3660</t>
  </si>
  <si>
    <t xml:space="preserve">San José, INIFAR, Primer piso, Facultad de Farmacia Universidad de Costa Rica, San Pedro de Montes de Oca. </t>
  </si>
  <si>
    <t>L-V de 8 am a 5 pm</t>
  </si>
  <si>
    <t>Instituto de Investigaciones en Salud, INISA-UCR</t>
  </si>
  <si>
    <t>LE-063</t>
  </si>
  <si>
    <t>Erick Cordero Jara</t>
  </si>
  <si>
    <t>sgcinisaucr@gmail.com</t>
  </si>
  <si>
    <t>silvia.navarroceciliano@ucr.ac.cr</t>
  </si>
  <si>
    <t>2511-2150</t>
  </si>
  <si>
    <t>2511-5130</t>
  </si>
  <si>
    <t>San José, de la UNED en Sabanilla 300 m este y 125 m sureste, contiguo a la Escuela de Enfermería, UCR, San Pedro de Montes de Oca</t>
  </si>
  <si>
    <t>http://www.inisa.ucr.ac.cr/</t>
  </si>
  <si>
    <t>San José, de la UNED en Sabanilla 300 este y 125 sureste, contiguo a la Escuela de Enfermería, UCR, San Pedro de Montes de Oca</t>
  </si>
  <si>
    <t>Jazmin Solano</t>
  </si>
  <si>
    <t>2511-3050</t>
  </si>
  <si>
    <t>inisa@ucr.ac.cr</t>
  </si>
  <si>
    <t>8:00 a 12:00 y 1:00 a 5:00</t>
  </si>
  <si>
    <t>25.10.2018 Reducción Voluntaria</t>
  </si>
  <si>
    <t>Laboratorio de Ensayo del Laboratorio de Eficiencia Energética - ICE</t>
  </si>
  <si>
    <t>LE-064</t>
  </si>
  <si>
    <t>Mónica Porras Bolaños</t>
  </si>
  <si>
    <t>mporrasb@ice.go.cr</t>
  </si>
  <si>
    <t>icelee@ice.go.cr</t>
  </si>
  <si>
    <t>2000-4127</t>
  </si>
  <si>
    <t>2213-09-83</t>
  </si>
  <si>
    <t xml:space="preserve">San José, 200 m Oeste de DEMASA, Rincón Grande de Pavas. </t>
  </si>
  <si>
    <t>4-000-421-39</t>
  </si>
  <si>
    <t>Ányelo Gerald Vargas Hernández</t>
  </si>
  <si>
    <t>1-1184-313</t>
  </si>
  <si>
    <t>San José,  5° piso Edificio Central del ICE, Sabana Norte.</t>
  </si>
  <si>
    <t>Jefe división distribución y comercialización</t>
  </si>
  <si>
    <t>Geovanny Ramírez Jiménez</t>
  </si>
  <si>
    <t xml:space="preserve">Instituto Costarricense de Electricidad </t>
  </si>
  <si>
    <t>2000-85-77</t>
  </si>
  <si>
    <t xml:space="preserve">San José, Sabana Norte </t>
  </si>
  <si>
    <t>2213-09-82</t>
  </si>
  <si>
    <t>7:00 a 16:36</t>
  </si>
  <si>
    <t>07.06.2017 reducción de alcance para el metodo de ensayo balastro tipo  reactor o CWA, para la determinación de intensisdad de corriente de arranque en la entrada del balastro.</t>
  </si>
  <si>
    <t>Laboratorios de Sistemas de Medición de Energía Eléctrica (LASIMEE)</t>
  </si>
  <si>
    <t>LC-065</t>
  </si>
  <si>
    <t>Jason Meza Alvarado</t>
  </si>
  <si>
    <t xml:space="preserve"> jmeza@cnfl.go.cr
mamiranda@cnfl.go.cr</t>
  </si>
  <si>
    <t>esegura@cnfl.go.cr
lasimee@cnfl.go.cr</t>
  </si>
  <si>
    <t>2295-5613
2295-5414</t>
  </si>
  <si>
    <t>2295-1550</t>
  </si>
  <si>
    <t>San José, CNFL, Plantel Virilla contiguo a CAPRIS, La Uruca.</t>
  </si>
  <si>
    <t>3-101-000046</t>
  </si>
  <si>
    <t>Victor Solís Rodriguez</t>
  </si>
  <si>
    <t>2-0333-0624</t>
  </si>
  <si>
    <t>Máster en Administración de Negocios</t>
  </si>
  <si>
    <t>Rodrigo Espinosa Porras</t>
  </si>
  <si>
    <t>Compañía Nacional de Fuerza y Luz</t>
  </si>
  <si>
    <t>2295-1541</t>
  </si>
  <si>
    <t>7:00am a 3:30pm</t>
  </si>
  <si>
    <t>Conmpañia Nacional de Fuerza y Luz.</t>
  </si>
  <si>
    <t>Laboratorio Físico Químico, Tabacalera Hondureña S.A.</t>
  </si>
  <si>
    <t>LE-067</t>
  </si>
  <si>
    <t>Santiago Anderson</t>
  </si>
  <si>
    <t>santiago_anderson@bat.com</t>
  </si>
  <si>
    <t xml:space="preserve"> (504) 2545-3437</t>
  </si>
  <si>
    <t xml:space="preserve"> (504) 2545-3200</t>
  </si>
  <si>
    <t>Honduras, Boulevard del Sur Zona El cacao Apartado 64, San Pedro Sula, Cortés.</t>
  </si>
  <si>
    <t>San Pedro Sula</t>
  </si>
  <si>
    <t>O5019001047518</t>
  </si>
  <si>
    <t>Donaldo Enrique Mejía Funez</t>
  </si>
  <si>
    <t>0501-1978-09358</t>
  </si>
  <si>
    <t>Hondureño</t>
  </si>
  <si>
    <t>Ing Mecánico Industrial</t>
  </si>
  <si>
    <t>samantha_funes@bat.com</t>
  </si>
  <si>
    <t>Coordinador de Calidad</t>
  </si>
  <si>
    <t>Jorge Fernandez</t>
  </si>
  <si>
    <t xml:space="preserve"> (504) 2545-3226</t>
  </si>
  <si>
    <t>Honduras, Boulevard del Sur Zona El cacao Apartado 64, San Pedro Sula.</t>
  </si>
  <si>
    <t xml:space="preserve"> (504) 25453200</t>
  </si>
  <si>
    <t>08:00- 17:00 Lunes a Viernes</t>
  </si>
  <si>
    <t>Tabacalera Hondureña S.A.</t>
  </si>
  <si>
    <t>ROMANAS AZOCAR</t>
  </si>
  <si>
    <t>SERVICIOS ELECTRÓNICOS AZOCAR LTDA.</t>
  </si>
  <si>
    <t>LC-068</t>
  </si>
  <si>
    <t>LC-082</t>
  </si>
  <si>
    <t>Gabriela Obregón Valverde</t>
  </si>
  <si>
    <t>calidad@azocarcr.com</t>
  </si>
  <si>
    <t xml:space="preserve"> gobregon@azocarcr.com</t>
  </si>
  <si>
    <t>2222-0000</t>
  </si>
  <si>
    <t>San José, diagonal a la clínica Clorito Picado, Cinco esquinas de Tibás.</t>
  </si>
  <si>
    <t>Carlos Cordero Monge</t>
  </si>
  <si>
    <t>1-819-558</t>
  </si>
  <si>
    <t>Ingeniero en Electrónica</t>
  </si>
  <si>
    <t xml:space="preserve">calidad@azocarcr.com </t>
  </si>
  <si>
    <t>Viviana Obregón Valverde</t>
  </si>
  <si>
    <t>Servicios Electrónicos Azocar Ltda.</t>
  </si>
  <si>
    <t>2222-0000 ext: 117</t>
  </si>
  <si>
    <t>Viernes de 2:30pm a 4pm</t>
  </si>
  <si>
    <t>Servicios Electrónicos Azocar Limitada</t>
  </si>
  <si>
    <t>CEMENTOS PROGRESO COSTA RICA, SOCIEDAD ANÓNIMA</t>
  </si>
  <si>
    <t>LE-070</t>
  </si>
  <si>
    <t>Luis Ernesto Baltodano Segura</t>
  </si>
  <si>
    <t>luis.baltodano@cempro.com</t>
  </si>
  <si>
    <t>adrian.alvarez@cempro.com; luis.cedeno@ext.cempro.com; silvia.rodriguez@cempro.com</t>
  </si>
  <si>
    <t>2201-2000, ext 11224</t>
  </si>
  <si>
    <t>2201-8200</t>
  </si>
  <si>
    <t>Guanacaste, 5 Km al Este del Puente La Amistad, Colorado, Las Juntas de Abangares.</t>
  </si>
  <si>
    <t>3-101-018809</t>
  </si>
  <si>
    <t>  Andres Bolaños Amerling</t>
  </si>
  <si>
    <t>4-0182-0469</t>
  </si>
  <si>
    <t xml:space="preserve">Casado </t>
  </si>
  <si>
    <t>  Costarricense</t>
  </si>
  <si>
    <t>   Ingeniero Industrial   </t>
  </si>
  <si>
    <t>San José, Plaza Roble, Edificio el Pórtico, 3°er piso, Escazú.</t>
  </si>
  <si>
    <t xml:space="preserve"> Director de Planeación</t>
  </si>
  <si>
    <t>Jennifer Serrano Madrigal</t>
  </si>
  <si>
    <t>2201-2000</t>
  </si>
  <si>
    <t>Guanacaste, Colorado de Abangares.</t>
  </si>
  <si>
    <t>2201-8202</t>
  </si>
  <si>
    <t xml:space="preserve"> jennifer.serranomadrigal@ext.cemex.com;</t>
  </si>
  <si>
    <t>L-V   8-5 pm</t>
  </si>
  <si>
    <t>Cemex de Costa Rica</t>
  </si>
  <si>
    <t>Laboratorio Aseguramiento de la Calidad Dos Pinos</t>
  </si>
  <si>
    <t>Cooperativa de Productores de Leche Dos Pinos R.L</t>
  </si>
  <si>
    <t>LE-071</t>
  </si>
  <si>
    <t>A01: 09 de diciembre del 2008
A02: 25 de mayo del 2010
A03: 27 de marzo del 2012
A04: 02 de diciembre del 2013
A05: 26 de mayo del 2015
A06: 11 de julio del 2023</t>
  </si>
  <si>
    <t>Erika Vargas Salazar</t>
  </si>
  <si>
    <t>ervargas@dospinos.com</t>
  </si>
  <si>
    <t>aroda@dospinos.com; jurojasv@dospinos.com</t>
  </si>
  <si>
    <t>2437-3408 / 2437-3469</t>
  </si>
  <si>
    <t>2437-3070</t>
  </si>
  <si>
    <t>Alajuela, 7 km oeste Aeropuerto Internacional Juan Santa María, contiguo a Zona Franca Best. El Coyol, Alajuela.</t>
  </si>
  <si>
    <t>Alajuela</t>
  </si>
  <si>
    <t>3-004-045002</t>
  </si>
  <si>
    <t xml:space="preserve">Digna  María Moya Gónzalez </t>
  </si>
  <si>
    <t>2-0380-0696</t>
  </si>
  <si>
    <t>Licenciado en Contaduría Pública</t>
  </si>
  <si>
    <t xml:space="preserve">Residencia:
Alajuela, residencial Hacienda los Reyes
Instalaciones:
Alajuela, Cooperativa de Productores de Leche Dos Pinos R.L., 7 km oeste Aeropuerto Intl Juan Santa María, contiguo a Zona Franca Best. El Coyol,  Alajuela. acalderonm@dospinos.com </t>
  </si>
  <si>
    <t>Gerente General Interino</t>
  </si>
  <si>
    <t>Rocío Brenes Gamboa</t>
  </si>
  <si>
    <t>Cooperativa de Productores de Leche Dos Pinos R.L.</t>
  </si>
  <si>
    <t>2437-3408</t>
  </si>
  <si>
    <t>De lunes a viernes de 7:30 a 16:30</t>
  </si>
  <si>
    <t xml:space="preserve"> Cooperativa de Productores de Leche Dos Pinos R.L.</t>
  </si>
  <si>
    <t>23.01.2017 reducción de alcance para el ensayo Leche en polvo íntegra, semidescremada y descremada. Suero lácteo en polvo.  05.12.2016  reducción de alcance para los ensayos Alimento balanceado para animales y materia prima, Alimento balanceado para animales y materias primas (A1)
Maíz amarillo y harina de soya. (A3), Leche fluida (A2)  / 05.03.2013 reducción  de alcance para los ensayos de Análisis de Salmonella y Listeria en el laboratorio con sede en San Carlos</t>
  </si>
  <si>
    <t>Departamento de Aseguramiento de la Calidad (Productora La Florida S.A.)</t>
  </si>
  <si>
    <t>LE-072</t>
  </si>
  <si>
    <t>Giselle Morera</t>
  </si>
  <si>
    <t>2437-7140 / 2437-7216</t>
  </si>
  <si>
    <t>2431-0584</t>
  </si>
  <si>
    <t>100 m este del puente sobre Río Segundo</t>
  </si>
  <si>
    <t>3-101-306901</t>
  </si>
  <si>
    <t>Ramón De Mendiola</t>
  </si>
  <si>
    <t>1-679-993</t>
  </si>
  <si>
    <t>Ejecutivo</t>
  </si>
  <si>
    <t>Apdo. 795-1000 San Jose, Costa Rica</t>
  </si>
  <si>
    <t>Director General Regional de FIFCO</t>
  </si>
  <si>
    <t>Rafael Adrián Guzmán</t>
  </si>
  <si>
    <t>Productora La Florida S.A.</t>
  </si>
  <si>
    <t>7:00 a.m - 4:30p.m</t>
  </si>
  <si>
    <t>11.11.2014 Retiro de la acreditación /  Suspensión voluntaria total del alcance desde el 08.10.2013 hasta el 24.06.2014, 25.09.2013 Reducción de alcance en los ensayos de  Determinación de aire en producto terminado cerveza; Dióxido de carbono en producto terminado cerveza.</t>
  </si>
  <si>
    <t>Laboratorio de Control de Calidad MC</t>
  </si>
  <si>
    <t>LE-073</t>
  </si>
  <si>
    <t xml:space="preserve">Ing. Edgar Leonel Vargas Galeano </t>
  </si>
  <si>
    <t xml:space="preserve">e.vargas@mc-farmaceutica.com; </t>
  </si>
  <si>
    <t>e.vargas@mc-farmaceutica.com</t>
  </si>
  <si>
    <t>(504) 2225-2381</t>
  </si>
  <si>
    <t>(504) 2225-2374</t>
  </si>
  <si>
    <t>Honduras, Zona Tiloarque, Boulevard FF.AA, Costado Oeste de Plaza Millennium, Tegucigalpa.</t>
  </si>
  <si>
    <t>Tegucigalpa</t>
  </si>
  <si>
    <t>0801 9995 221448</t>
  </si>
  <si>
    <t>Ricardo Castillo Callejas</t>
  </si>
  <si>
    <t>0801-1950-03838</t>
  </si>
  <si>
    <t xml:space="preserve">Licenciado En Economia </t>
  </si>
  <si>
    <t>Sra. Amparo Hernandez</t>
  </si>
  <si>
    <t xml:space="preserve">Amparo Hernandez </t>
  </si>
  <si>
    <t>(504)2225-5211</t>
  </si>
  <si>
    <t>Honduras, Colonia Tiloarque, Blvd FFAA, Costado Oeste Edificio Plaza Millennium
Apdo. Postal No. 4500, Comayaguela, M.D.C., Tegucigalpa.</t>
  </si>
  <si>
    <t>(504)2225-2374</t>
  </si>
  <si>
    <t>8 h 00 min - 17 h  00 min</t>
  </si>
  <si>
    <t>Se puede verificar si hay transferncia o cheque con Isabel Hernandez</t>
  </si>
  <si>
    <t>Jordanlab S. de R.L. de C.V.</t>
  </si>
  <si>
    <t>Rosa Lilia Jordán
Alvarenga</t>
  </si>
  <si>
    <t>(504) 2557-5802 (504) 2557-2753</t>
  </si>
  <si>
    <t>(504) 2557-5802</t>
  </si>
  <si>
    <t>Honduras, B° El Benque, 6 Ave. 5 y
6 Calle, S.O. Plaza Victoria, Local 21, San Pedro Sula, Cortés.</t>
  </si>
  <si>
    <t>0501-1953-02058</t>
  </si>
  <si>
    <t>Lic. Microbiologia y Quimica Clinica</t>
  </si>
  <si>
    <t>Honduras, B° El Benque, 6 Ave. 5 y
6 Calle, S.O. Plaza Victoria, Local 21, San Pedro Sula, Departamento de Cortés.</t>
  </si>
  <si>
    <t>Rosa Lilia Jordán</t>
  </si>
  <si>
    <t>(504) 2557-5803</t>
  </si>
  <si>
    <t>jordanlab@sulanet.net; jordanadm@sulanet.net</t>
  </si>
  <si>
    <t>Lunes a Jueves
08 00 h - 17 00 h
Viernes
08 00 h - 16 00 h</t>
  </si>
  <si>
    <t>29.08.2016 Retiro de acreditaciòn / Favor enviar copia de notificaciones al siguiente correo electronico: jordanadm@sulanet.net</t>
  </si>
  <si>
    <t>Laboratorio de Calibración Desarrollos Latinoamericanos de Metrología Integrada (DMI)</t>
  </si>
  <si>
    <t>Desarrollos Latinoamericanos de Metrología Integrada Sociedad Anónima</t>
  </si>
  <si>
    <t>LC-075</t>
  </si>
  <si>
    <t>LC-081</t>
  </si>
  <si>
    <t>Emanuel Quirós Gamboa</t>
  </si>
  <si>
    <t>emanuel.quiros@dmimetrologia.com</t>
  </si>
  <si>
    <t>calidad@dmimetrologia.com;</t>
  </si>
  <si>
    <t>22-88-31-60</t>
  </si>
  <si>
    <t>2288-3159</t>
  </si>
  <si>
    <t>San José, 100 m al Oeste de la Agencia del Banco Nacional, Escazú.</t>
  </si>
  <si>
    <t>3-101-403462</t>
  </si>
  <si>
    <t>Edwin Quirós Villalobos</t>
  </si>
  <si>
    <t>1-0486-0945</t>
  </si>
  <si>
    <t>San José, 100 al Oeste de la Agencia del Banco Nacional, Escazú.</t>
  </si>
  <si>
    <t>Gerente</t>
  </si>
  <si>
    <t>Carol Duarte Guzmán</t>
  </si>
  <si>
    <t>Desarrollos Latinoamericanos de Metrologia Integrada S.A.</t>
  </si>
  <si>
    <t>22-88-31-59</t>
  </si>
  <si>
    <t>administrativofinanciero@dmimetrologia.com </t>
  </si>
  <si>
    <t>Desarrollos Latinoamericanos de Metrología Integrada</t>
  </si>
  <si>
    <t>De 12:30 md a 1:30 pm cerrado por almuerzo</t>
  </si>
  <si>
    <t>Calibraciones de América CAMERICA S.A.</t>
  </si>
  <si>
    <t>Calibraciones de América CAMERICA Sociedad Anónima</t>
  </si>
  <si>
    <t>LC-076</t>
  </si>
  <si>
    <t xml:space="preserve"> Luis Alfonso Abarca Camacho</t>
  </si>
  <si>
    <t>labarca@camericacr.com</t>
  </si>
  <si>
    <t>calidad@camericacr.com; bcampos@camericacr.com</t>
  </si>
  <si>
    <t>2280-2885</t>
  </si>
  <si>
    <t>n/aplica</t>
  </si>
  <si>
    <t>San José, 300 m Oeste de la casa Presidencial, Zapote.</t>
  </si>
  <si>
    <t>3-101-485067</t>
  </si>
  <si>
    <t>www.camericacr.com</t>
  </si>
  <si>
    <t>3-0319-0854</t>
  </si>
  <si>
    <t>Fisico</t>
  </si>
  <si>
    <t>San José, 300 Oeste de la casa Presidencial, Zapote.</t>
  </si>
  <si>
    <t>Gerente General Gerente Tecnico.</t>
  </si>
  <si>
    <t>Milagro Vanegas Navarro</t>
  </si>
  <si>
    <t>Calibraciones de América CAMERICA S.A</t>
  </si>
  <si>
    <t xml:space="preserve">mvenegas@camericacr.com; labarca@camericacr.com;      </t>
  </si>
  <si>
    <t xml:space="preserve">Por favor enviar copia de comunicados al </t>
  </si>
  <si>
    <t>Laboratorio de Análisis Industriales S. de R.L. "MQ"</t>
  </si>
  <si>
    <t>LE-077</t>
  </si>
  <si>
    <t>Patricia Villafranca Rossner</t>
  </si>
  <si>
    <t>patricia.villafranca@labmq.com;patricia.villafranca@labmq.com; Robin.garcia@labmq.com; info@labmq.com; nadezda.chang@labmq.com</t>
  </si>
  <si>
    <t>( 504) 2221-0242</t>
  </si>
  <si>
    <t>(504) 2221 - 0242</t>
  </si>
  <si>
    <t>Honduras, Colonia Matamoros ,con Reposteria El Hogar, Tegucigalpa.</t>
  </si>
  <si>
    <t>RTN 8019995332108</t>
  </si>
  <si>
    <t>Microbióloga y Química Clínica</t>
  </si>
  <si>
    <t>Laboratorio de analisis industriales MQ</t>
  </si>
  <si>
    <t>8:00 am - 5:00 pm</t>
  </si>
  <si>
    <t>13.10.2015 Retiro de acreditación voluntario.</t>
  </si>
  <si>
    <t>Suplilab S.A.</t>
  </si>
  <si>
    <t>LE-078</t>
  </si>
  <si>
    <t>LE-079</t>
  </si>
  <si>
    <t>Dr. Mario Chaves Villalobos</t>
  </si>
  <si>
    <t xml:space="preserve">mario.chaves@suplilabcr.com; gestioncalidad@suplilabcr.com </t>
  </si>
  <si>
    <t>gestioncalidad@suplilabcr.com </t>
  </si>
  <si>
    <t>2281-2000</t>
  </si>
  <si>
    <t>2281-2728</t>
  </si>
  <si>
    <t>San José, De la iglesia Católica de Zapote 125 m al Sur, Zapote</t>
  </si>
  <si>
    <t>3-101-195120</t>
  </si>
  <si>
    <t>Mario Chaves Villalobos</t>
  </si>
  <si>
    <t>4-0117-0180</t>
  </si>
  <si>
    <t>Doctor</t>
  </si>
  <si>
    <t xml:space="preserve">Gerente </t>
  </si>
  <si>
    <t>Karol Rivas Palma</t>
  </si>
  <si>
    <t>2281-2729</t>
  </si>
  <si>
    <t>karol.rivas@suplilabcr.com; suplilab@racsa.co.cr;</t>
  </si>
  <si>
    <t>De 12 md a 1:00 pm cerrado por almuerzo
24/11/25: Cambio de representante legal por salida de Doña Flory Mora Delgado</t>
  </si>
  <si>
    <t>INGEOTEC S.A.</t>
  </si>
  <si>
    <t xml:space="preserve">INGEOTEC Sociedad Anónima </t>
  </si>
  <si>
    <t>LE-060</t>
  </si>
  <si>
    <t>Marco Valverde Mora</t>
  </si>
  <si>
    <t>ingvalverde@ingeotec-cr.com</t>
  </si>
  <si>
    <t xml:space="preserve"> ssoto@ingeotec-cr.com; gestiondecalidad@ingeotec-cr.com</t>
  </si>
  <si>
    <t xml:space="preserve">2294-4026 /2294-4010 </t>
  </si>
  <si>
    <t>2294-4026</t>
  </si>
  <si>
    <t>San José, de la estación de servicio el Trapiche, 600 m norte y 100 m oeste, Dulce Nombre de Coronado.</t>
  </si>
  <si>
    <t>Sergio Sáenz Aguilar</t>
  </si>
  <si>
    <t>4-0114-0344</t>
  </si>
  <si>
    <t>San José, de la estación de servicio el Trapiche, 600 norte y 100 oeste, Dulce Nombre de Coronado.</t>
  </si>
  <si>
    <t xml:space="preserve">Facturación y cobro </t>
  </si>
  <si>
    <t>Andrea Castro Solís</t>
  </si>
  <si>
    <t>2294-4010</t>
  </si>
  <si>
    <t>fe@ingeotec-cr.com 
acastro@ingeotec-cr.com</t>
  </si>
  <si>
    <t>8:00 a.m a 5:00 a.m</t>
  </si>
  <si>
    <t>Instituto de Innovación en Biotecnología e Industria (IIBI)</t>
  </si>
  <si>
    <t>LE-080</t>
  </si>
  <si>
    <t xml:space="preserve">Elsa Nurys Villegas de la Rosa  </t>
  </si>
  <si>
    <t xml:space="preserve">evillegas@iibi.gob.do
</t>
  </si>
  <si>
    <t>aalvarez@iibi.gob.do</t>
  </si>
  <si>
    <t>(809) 566-8121 ext. 2999</t>
  </si>
  <si>
    <t>( 809 ) 227-8810</t>
  </si>
  <si>
    <t>República Dominicana</t>
  </si>
  <si>
    <t>República Dominicana, Calle Oloff Palme esq. Av. Nuñez de Caceres, San Gerónimo, Santo Domingo.</t>
  </si>
  <si>
    <t>Santo Domingo</t>
  </si>
  <si>
    <t>001-0795292-1</t>
  </si>
  <si>
    <t>Osmar Antono Olivo Sosa</t>
  </si>
  <si>
    <t>Dominicana</t>
  </si>
  <si>
    <t>Santo Domingo, C/ Oloff Palme esq. Av. Nuñez de Caceres, San Gerónimo.Edificio verde con naranja</t>
  </si>
  <si>
    <t>Director Ejecutivo</t>
  </si>
  <si>
    <t>Contabilidad</t>
  </si>
  <si>
    <t>Kennedy Vargas Hernandez</t>
  </si>
  <si>
    <t>809-566-8121 ext 2094</t>
  </si>
  <si>
    <t>Calle Olof Palme, esquina Núñez de Cáceres, San Gerónimo, Santo Domingo, Distrito Nacional, República Dominicana</t>
  </si>
  <si>
    <t>809-548-7760</t>
  </si>
  <si>
    <t>kvargas@iibi.gob.do</t>
  </si>
  <si>
    <t>8:00 a.m.  a 4:30 p-m  Lunes a Viernes</t>
  </si>
  <si>
    <t>Suspensión por medida cauteral del 6/3/2024 hasta el cierre de las NC del periodo 2023</t>
  </si>
  <si>
    <t>Laboratorio Químico Agrícola, FHIA</t>
  </si>
  <si>
    <t>LE-082</t>
  </si>
  <si>
    <t>LE-075</t>
  </si>
  <si>
    <t xml:space="preserve">Idalia Morán </t>
  </si>
  <si>
    <t>laboratorio_lqa@fhia-hn.org </t>
  </si>
  <si>
    <t>gcalidadlqa@gmail.com; moranidalme17@gmail.com</t>
  </si>
  <si>
    <t>(504)  2668-2887 / (504) 2668-2470</t>
  </si>
  <si>
    <t xml:space="preserve"> (504)  2668-2313</t>
  </si>
  <si>
    <t xml:space="preserve"> Honduras, Col. Sula, Contiguo Inst. Patria, La Lima, Cortés.</t>
  </si>
  <si>
    <t>Cortés</t>
  </si>
  <si>
    <t>RTN 05129999189738</t>
  </si>
  <si>
    <t>Adolfo Martínez</t>
  </si>
  <si>
    <t>C.R. 2912200503610</t>
  </si>
  <si>
    <t>Estadounidense</t>
  </si>
  <si>
    <t>Doctor en Economía Agrícola</t>
  </si>
  <si>
    <t xml:space="preserve"> Honduras, Col. Sula, Contiguo Inst. Patria, La Lima Cortes.</t>
  </si>
  <si>
    <t>(504) 26682313</t>
  </si>
  <si>
    <t>Lunes a jueves de 7:00 a.m. a 4:00 p.m. Viernes de 7:00 a.m. a 3:00 p.m.</t>
  </si>
  <si>
    <t xml:space="preserve">11/6/2019. Retiro voluntario a la acreditación </t>
  </si>
  <si>
    <t>INSUMA S.A.</t>
  </si>
  <si>
    <t>Ingeniería Suelos y Materiales INSUMA</t>
  </si>
  <si>
    <t>LE-083</t>
  </si>
  <si>
    <t>LE-068</t>
  </si>
  <si>
    <t>José Joaquín Ocampo Salas</t>
  </si>
  <si>
    <t>jocampo@insuma.co.cr</t>
  </si>
  <si>
    <t>jrodriguez@insuma.co.cr</t>
  </si>
  <si>
    <t>2234-5070</t>
  </si>
  <si>
    <t xml:space="preserve">San José, Costado este del parqueo de los empleados de la Casa Presidencial, Zapote </t>
  </si>
  <si>
    <t xml:space="preserve">José Antonio Rodriguez Barquero </t>
  </si>
  <si>
    <t xml:space="preserve">1-469-970 </t>
  </si>
  <si>
    <t xml:space="preserve"> Costarricense</t>
  </si>
  <si>
    <t>jocampo@insuma.co.cr, jrodriguez@insuma.co.cr</t>
  </si>
  <si>
    <t xml:space="preserve">Gerente General </t>
  </si>
  <si>
    <t>Crédito y cobro</t>
  </si>
  <si>
    <t>Miriam Guzmán Calderón</t>
  </si>
  <si>
    <t>recepcionfacturas@insuma.co.cr</t>
  </si>
  <si>
    <t>08:00 a.m. a 2:00 p.m.</t>
  </si>
  <si>
    <t>Laboratorios Agroindustriales de Centroamérica</t>
  </si>
  <si>
    <t>LE-084</t>
  </si>
  <si>
    <t>José Alcerro</t>
  </si>
  <si>
    <t>gestiondecalidad@agroindustriales.hn; gestiondecalidad@agroindustriales.hn</t>
  </si>
  <si>
    <t>(504) 2508-3825/26</t>
  </si>
  <si>
    <t>(504) 2552-8052</t>
  </si>
  <si>
    <t>Honduras, Colonia Prado Bajo, Avenida 10-11, calle 17,San Pedro Sula, Cortés</t>
  </si>
  <si>
    <t>Rony Carrillo Josch</t>
  </si>
  <si>
    <t>Ing. Quimico</t>
  </si>
  <si>
    <t>Alta Direccion</t>
  </si>
  <si>
    <t>Karina Leiva</t>
  </si>
  <si>
    <t>(504)2552-8052 /        (504) 2669-5145</t>
  </si>
  <si>
    <t>504-2552-8187</t>
  </si>
  <si>
    <t>8am-5 pm</t>
  </si>
  <si>
    <t>Ecolova S. de R. L. de C. V.</t>
  </si>
  <si>
    <t xml:space="preserve"> 03.02.2017 Retiro de la acreditación de manera voluntaria. Se incluye el correo de Grettel Rodriguez</t>
  </si>
  <si>
    <t>IHCAFE</t>
  </si>
  <si>
    <t>LE-085</t>
  </si>
  <si>
    <t>LE-076</t>
  </si>
  <si>
    <t>Marilyn J. Colindres</t>
  </si>
  <si>
    <t>marijassel14@gmail.com</t>
  </si>
  <si>
    <t>(504)2556-9100</t>
  </si>
  <si>
    <t>(504)2556-5030</t>
  </si>
  <si>
    <t>Honduras, Centro Nacional de Calidad, 33 calle, 1 y 2 avenida sector El Cacao, contiguo a Toyota, San Pedro Sula, Cortés.</t>
  </si>
  <si>
    <t>Decreto No. 213-2000
Cédula Jurídica: 08019995355619</t>
  </si>
  <si>
    <t>Adilson Manuel Avila Casco</t>
  </si>
  <si>
    <t>711196900055 poner un cero como primer número</t>
  </si>
  <si>
    <t>Licenciado en Administración de Empresas</t>
  </si>
  <si>
    <t>Honduras, Colonia Luis Landa, costado norte oficinas R.N.P., edificio Asterio Reyes Hernández, Tegucigalpa</t>
  </si>
  <si>
    <t>Orieta Pinto</t>
  </si>
  <si>
    <t>(504) 25569100</t>
  </si>
  <si>
    <t>Honduras, 33 Ca SO, 1-2 Avenida, Sector El Cacao, San Pedro Sula.</t>
  </si>
  <si>
    <t>(504) 25565030</t>
  </si>
  <si>
    <t>lunes a viernes de 8 am a 4 pm</t>
  </si>
  <si>
    <t>Se está en la espera de un documento apostillado con el RTN de IHCAFE. Esto se solicitó en una reunión realizada el 28/03/2023. Dijeron que durarían unas semanas en enviarse Se recibió el pasaporte del representante legal el 29/03/2023.</t>
  </si>
  <si>
    <t xml:space="preserve">Laboratorio de Calibración del Laboratorio Nacional de Materiales y Modelos Estructurales LANAMME-UCR.       </t>
  </si>
  <si>
    <t>LC-086</t>
  </si>
  <si>
    <t>LC-077</t>
  </si>
  <si>
    <t>Ing. Humberto Tioli mora</t>
  </si>
  <si>
    <t>direccion.lanamme@ucr.ac.cr; jose.tioli@ucr.ac.cr</t>
  </si>
  <si>
    <t xml:space="preserve">emmanuel.badilla@ucr.ac.cr; maria.castrosoto@ucr.ac.cr </t>
  </si>
  <si>
    <t>2511-2500/ 2511-2514</t>
  </si>
  <si>
    <t>San José, 500 m  Norte de Supermercado Muñoz &amp; Nanne, Ciudad de la Investigación, Universidad de Costa Rica, San Pedro de Montes de Oca.</t>
  </si>
  <si>
    <t>San José, Universidad de Costa Rica,  Ciudad Universitaria Rodrigo Facio, Contiguo a la Fac. de Ciencias Agroalimentarias. San Pedro de Montes de Oca.</t>
  </si>
  <si>
    <t>AgroBioTek Laboratorios S. de R.L.</t>
  </si>
  <si>
    <t>LE-087</t>
  </si>
  <si>
    <t>Gabriel Humberto Cosenza Sutton</t>
  </si>
  <si>
    <t>(504) 2238-0872</t>
  </si>
  <si>
    <t>(504) 2552-7116</t>
  </si>
  <si>
    <t>San Pedro Sula
Ubicado en Edificio San Remo, Bario El Benque, San Pedro Sula, Cortes.
Tegucigalpa
Ubicado en Edificio Santa Barbara, Barrio Concepción, Tegucigalpa, Francisco Morazan.</t>
  </si>
  <si>
    <t xml:space="preserve">San Pedro Sula/ Tegucigalpa </t>
  </si>
  <si>
    <t>RTN 08019995355582</t>
  </si>
  <si>
    <t xml:space="preserve">Gabriel Humberto Cosenza Sutton </t>
  </si>
  <si>
    <t>0801-1982-18344</t>
  </si>
  <si>
    <t>P.h.D Microbiología de Alimentos</t>
  </si>
  <si>
    <t>Honduras, Edificio Santa Bárbara 3er Piso, 3 Ave 7-8 calle, Tegucigalpa.</t>
  </si>
  <si>
    <t>Mabel Carias</t>
  </si>
  <si>
    <t>504 2238-0864</t>
  </si>
  <si>
    <t xml:space="preserve">Honduras, Edificio Santa Bárbara 3er Piso, 3 Ave 7-8 calle, Frente a La Policlínica, Tegucigalpa.                                           </t>
  </si>
  <si>
    <t>8am a 5pm</t>
  </si>
  <si>
    <t>Retiro de acreditación 16/01/2019</t>
  </si>
  <si>
    <t>Laboratorio Nacional de Análisis de Residuos (LANAR)</t>
  </si>
  <si>
    <t>LE-088</t>
  </si>
  <si>
    <t>Farida Salgado</t>
  </si>
  <si>
    <t>fsalgado@oirsa.org</t>
  </si>
  <si>
    <t>bcastellanos@oirsa.org</t>
  </si>
  <si>
    <t>(504) 2245-8081</t>
  </si>
  <si>
    <t>(504) 2245-7361</t>
  </si>
  <si>
    <t>Honduras, Colonia San José del pedregal calle principal contiguo al Instituto Alfonso Guillen Zelaya, Tegucigalpa.</t>
  </si>
  <si>
    <t>3-101556575</t>
  </si>
  <si>
    <t>Fárida Inés Salgado</t>
  </si>
  <si>
    <t>0801-1980-01714</t>
  </si>
  <si>
    <t>hondureña</t>
  </si>
  <si>
    <t>Química Farmacéutica</t>
  </si>
  <si>
    <t>Melvin Valerio</t>
  </si>
  <si>
    <t>OIRSA/LANAR</t>
  </si>
  <si>
    <t>(504) 22457361</t>
  </si>
  <si>
    <t>de L a J de 8:00 am a 5 pm   Viernes de 8:00 am a 4 pm</t>
  </si>
  <si>
    <t>Se modifica el alcance de acreditación debido al levantamiento de la suspensión total del alcance de acreditación por medida cautelar. Esto fue aprobado por Comisión de Acreditación mediante acuerdo CA-007-2024-04, misma que fue notificado al OEC el 06 de marzo de 2024.</t>
  </si>
  <si>
    <t>Instituto de Investigaciones en Ingeniería LABCAL</t>
  </si>
  <si>
    <t>LC-092</t>
  </si>
  <si>
    <t>LC-090</t>
  </si>
  <si>
    <t>Alex Núñez Mena</t>
  </si>
  <si>
    <t>2511-5553 / 2511-6642</t>
  </si>
  <si>
    <t>2253-4614</t>
  </si>
  <si>
    <t>Diagonal a la sub-estación de la CNFL, Sabanilla, Montes de Oca</t>
  </si>
  <si>
    <t>Henning Jensen Pennington</t>
  </si>
  <si>
    <t>8-041-334</t>
  </si>
  <si>
    <t>Doctor en Psicología</t>
  </si>
  <si>
    <t>Sede Univesitaria Rodrigo Facio, San Pedro de Montes de Oca, Edificio Administrativo B, Segundo Piso, Oficina de Rectoría</t>
  </si>
  <si>
    <t>Roxana Vargas</t>
  </si>
  <si>
    <t>2511-6156</t>
  </si>
  <si>
    <t>Jueves 13 - 17 horas</t>
  </si>
  <si>
    <t xml:space="preserve"> Retiro de  acreditación el 10.06.2014.                                                  Suspensión voluntaria total del alcance desde el 28.05.2013 hasta el 02.09.2013, prorroga de suspensión total del alcance desde el 10.09.2013 hasta el 27.05.2014</t>
  </si>
  <si>
    <t>Laboratorio Clínico de Pavas, COOPESALUD R.L.</t>
  </si>
  <si>
    <t>LE-093</t>
  </si>
  <si>
    <t>Karla P. Chaves Mora</t>
  </si>
  <si>
    <t>calidad@coopesalud.org</t>
  </si>
  <si>
    <t xml:space="preserve">Karla Chaves Mora, kpchaves@coopesalud.org
Natalia Castillo Zeledón ncastillo@coopesalud.org
Jorge Alejandro Calderón jcalderon@coopesalud.org </t>
  </si>
  <si>
    <t>2231-6044</t>
  </si>
  <si>
    <t>2232-7322</t>
  </si>
  <si>
    <t>San José, Contiguo al Hospital Psiquiátrico, Pavas.</t>
  </si>
  <si>
    <t>3-004-087662</t>
  </si>
  <si>
    <t xml:space="preserve">Alberto Ferrero Aymerich </t>
  </si>
  <si>
    <t>1-0701-0193</t>
  </si>
  <si>
    <t>Casado en segundas nupcias</t>
  </si>
  <si>
    <t xml:space="preserve">Médico General </t>
  </si>
  <si>
    <t>San José, Contiguo al Hospital Psiquiátrico, Clínica de Pavas, Pavas</t>
  </si>
  <si>
    <t>Marineth Vega R.</t>
  </si>
  <si>
    <t>Coopesalud R.L.</t>
  </si>
  <si>
    <t>7:00 a.m. a 4:00 p.m. (L a J) 7:00 a.m. a 3:00 p.m. (V)</t>
  </si>
  <si>
    <t>COOPESALUD R.L.</t>
  </si>
  <si>
    <t>Se incluyen 3 representantes del OEC, es cadena de sustituciones</t>
  </si>
  <si>
    <t>Laboratorio de Calibración de Equipos de Medición de Bridgestone de Costa Rica</t>
  </si>
  <si>
    <t>LC-094</t>
  </si>
  <si>
    <t>LC-083</t>
  </si>
  <si>
    <t>Carlos Alberto Martínez Sanchez /  Andrea Fonseca  Fonseca</t>
  </si>
  <si>
    <t>FonsecaAndrea@la-bridgestone.com,</t>
  </si>
  <si>
    <t>2209-7381
2209-7300 ext: 7120/7106-4572/7105-4834 ext: 7218</t>
  </si>
  <si>
    <t>Bridgestone</t>
  </si>
  <si>
    <t xml:space="preserve"> 27.10.2016 reducción de alcance  para la  calibración del procedimiento IT-831-32 de magnitud  Dimensional longitud/  Reducción de alcance el 10.12.2013 para la calibración de Termómetro Liquido en vidrio</t>
  </si>
  <si>
    <t>Laboratorio Químico de ICAFE</t>
  </si>
  <si>
    <t xml:space="preserve">Instituto del café de Costa Rica </t>
  </si>
  <si>
    <t>LE-095</t>
  </si>
  <si>
    <t xml:space="preserve">Carlos Rojas Chaves </t>
  </si>
  <si>
    <t>crojas@icafe.cr</t>
  </si>
  <si>
    <t>2243-7874/2243-7877</t>
  </si>
  <si>
    <t>2260-1937</t>
  </si>
  <si>
    <t>Heredia, 400 m norte Escuela pública, San Pedro de Barva.</t>
  </si>
  <si>
    <t>3-007-042037</t>
  </si>
  <si>
    <t>Gustavo Jiménez Elizondo</t>
  </si>
  <si>
    <t>1-1099-0921</t>
  </si>
  <si>
    <t>Lic. Ingeniería Electromecánico</t>
  </si>
  <si>
    <t>Director Ejecutivo A.I.</t>
  </si>
  <si>
    <t>Yuly Monge loaiza</t>
  </si>
  <si>
    <t>ICAFE</t>
  </si>
  <si>
    <t>2243-7869</t>
  </si>
  <si>
    <t>San José, Calle 1a,   ave  18 y 20.</t>
  </si>
  <si>
    <t>2243-7852</t>
  </si>
  <si>
    <t xml:space="preserve">Lunes   a   viernes         de  8 am              a  4:30  pm </t>
  </si>
  <si>
    <t xml:space="preserve"> LABCA - Laboratorio del Control de Alimentos, Agencia de Regulación Sanitaria, Dirección de Vigilancia y Fiscalización, Red de Laboratorios </t>
  </si>
  <si>
    <t>LE-096</t>
  </si>
  <si>
    <t>LE-089</t>
  </si>
  <si>
    <t>LE-089-A01: 25 de Febrero del 2014.
LE-089-A02: 25 de Febrero del 2014.
LE-089-A03: 10 de Marzo del 2015.
LE-089-A04: 16 de Mayo del 2017.
LE-089-A05: 27 de Julio del 2018.
LE-089-A06: 03 de Octubre del 2018.
LE-089 A07: 07 de septiembre del 2022</t>
  </si>
  <si>
    <t>Zeyda Bidine Diaz 
Fátima Romero</t>
  </si>
  <si>
    <t>fatimaromero@arsa.gob.hn
labca@arsa.gob.hn
elisabetposadas@arsa.gob.hn</t>
  </si>
  <si>
    <t xml:space="preserve">Labca Arsa &lt;labca@arsa.gob.hn; </t>
  </si>
  <si>
    <t>504-2232-16-85 Ext 27</t>
  </si>
  <si>
    <t>Honduras, 3er Piso Edificio Centro de Salud Alonzo Suazo Barrio Morazán, Tegucigalpa</t>
  </si>
  <si>
    <t>1707-1964-00168</t>
  </si>
  <si>
    <t>Francis Rafael contreras Rivera</t>
  </si>
  <si>
    <t>0406-1967-00218</t>
  </si>
  <si>
    <t xml:space="preserve">Comisionado Presidente  </t>
  </si>
  <si>
    <t>Laboratorio del Control de Alimentos, Agencia de Regulación Sanitaria, Dirección de Vigilancia y Fiscalización, Red de Laboratorios</t>
  </si>
  <si>
    <t>MET-CAL Engineering Services S.A.</t>
  </si>
  <si>
    <t>MET-CAL Engineering Services Sociedad Anónima</t>
  </si>
  <si>
    <t>LC-097</t>
  </si>
  <si>
    <t>LC-085</t>
  </si>
  <si>
    <t>A02: 12/8/2024</t>
  </si>
  <si>
    <t>Alberto José Marín Arguedas</t>
  </si>
  <si>
    <t>amarin@metcal.net</t>
  </si>
  <si>
    <t>calidad@metcal.net</t>
  </si>
  <si>
    <t>2286-4286</t>
  </si>
  <si>
    <t>Inhabilitado</t>
  </si>
  <si>
    <t>San José, del Freshmarket 400 m Oeste, diagonal al Crossfit 360, Guayabos, Curridabat</t>
  </si>
  <si>
    <t>3-101-373718</t>
  </si>
  <si>
    <t>Gustavo Alonso Pérez Solano</t>
  </si>
  <si>
    <t>1-0993-0538</t>
  </si>
  <si>
    <t>Ingeniería Industrial, MSc. Administración de Proyectos</t>
  </si>
  <si>
    <t>Miembro del Consejo Directivo y Gerente de Servicio al Cliente</t>
  </si>
  <si>
    <t>Natalia Moya Estrada</t>
  </si>
  <si>
    <t>Inhabilidato</t>
  </si>
  <si>
    <t>L a V 8 am a 4 pm</t>
  </si>
  <si>
    <t>Met-Cal</t>
  </si>
  <si>
    <t>Enviar notificaciones por correo electrónico a kpicado@met-cal.net . Para contactos a detallar en la página web serían info@met-cal.net y servicios@met-cal.net (estos son contactos para los clientes)</t>
  </si>
  <si>
    <t>Centro de Investigación en Ciencias Atómicas Nucleares y Moleculares CICANUM</t>
  </si>
  <si>
    <t>LE-098</t>
  </si>
  <si>
    <t>Brenda Garay García</t>
  </si>
  <si>
    <t>calidad.cicanum@ucr.ac.cr; brenda.garay@ucr.ac.cr</t>
  </si>
  <si>
    <t>2511-2427</t>
  </si>
  <si>
    <t>San José, Ciudad de la Investigación, Universidad de Costa Rica. Sabanilla, Montes de Oca.</t>
  </si>
  <si>
    <t xml:space="preserve">CICANUM
Universidad de Costa Rica
Apartado 
11501-2060 </t>
  </si>
  <si>
    <t>Nancy Elizondo
Control de pagos</t>
  </si>
  <si>
    <t>FUNDEVI 
Oficina de Administración Financiera</t>
  </si>
  <si>
    <t>2511-1777
2511-4643</t>
  </si>
  <si>
    <t>2283-4640
2253-4630</t>
  </si>
  <si>
    <t>factura.electronica@fundacionucr.ac.cr Calidad.cicanum@ucr.ac.cr</t>
  </si>
  <si>
    <t>8:00 a 16:30
8:15 a 16:30</t>
  </si>
  <si>
    <t>Antes de facturar verificar a nombre de quién debe emitirse la factura. / Bárbara Durán continua siendo  Representante ante el ECA  y Emmanuel Badilla es el sustituto</t>
  </si>
  <si>
    <t xml:space="preserve"> ICE - Laboratorio de Metrología – LAMETRO</t>
  </si>
  <si>
    <t>LC-099</t>
  </si>
  <si>
    <t xml:space="preserve">Jonny Jimenez Jimenez </t>
  </si>
  <si>
    <t>jjimenezjim@ice.go.cr</t>
  </si>
  <si>
    <t xml:space="preserve">lametro@ice.go.cr </t>
  </si>
  <si>
    <t>2000-0876 / 2000-6296</t>
  </si>
  <si>
    <t>Edificio N° 8, Plantel ICE Colima, Tibás, San José, Costa Rica</t>
  </si>
  <si>
    <t>400004213902</t>
  </si>
  <si>
    <t>https://grupoice.com/wps/portal/ICE/telecomunicaciones/lametro</t>
  </si>
  <si>
    <t>Pablo Enrique Calderón Ortiz</t>
  </si>
  <si>
    <t>1-1130-0165</t>
  </si>
  <si>
    <t>Ingeniero Eléctrico</t>
  </si>
  <si>
    <t>San José, Plantel ICE Colima de Tibás, edificio Nº1, piso # 2</t>
  </si>
  <si>
    <t>Pcalderon@ice.go.cr
masalas@ice.go.cr</t>
  </si>
  <si>
    <t>Apoderado generalísimo con límite de suma de hasta trecientos cicuenta mil dólares</t>
  </si>
  <si>
    <t>María del Pilar Ugalde Hernández</t>
  </si>
  <si>
    <t>2247-8382</t>
  </si>
  <si>
    <t>San José, Plantel ICE Colima de Tibás, contiguo al GEDI, Tibás.</t>
  </si>
  <si>
    <t>2247-8208</t>
  </si>
  <si>
    <t>dquesada@ice.go.cr , murena@ice.go.cr</t>
  </si>
  <si>
    <t>Lunes a jueves de 7 a.m. a 5 p.m.             Viernes de 7 a.m. a 3 p.m.</t>
  </si>
  <si>
    <t>La representación legal de Marcos Vargas Vargas se encuentra en trámite. se informa que aunque siempre se mantiene como representante legal el Ing. Marcos Vargas Vargas, por favor incluir también al Ing. Adolfo Arias Echandi. A nivel del ICE el señor Adolfo Arias es el superior jerárquico del Ing. Marcos Vargas Vargas y también es representante legal. Por lo anterior para cualquier trámite legal, como por ejemplo la firma de un compromiso de  acreditación, en caso de ausencia del señor Marcos Vargas Vargas, el señor Adolfo Arias podría firmar.</t>
  </si>
  <si>
    <t>Laboratorio de Metrologia, PROCAME-UNA</t>
  </si>
  <si>
    <t>LC-100</t>
  </si>
  <si>
    <t>LC-091</t>
  </si>
  <si>
    <t>Karla Vetrani</t>
  </si>
  <si>
    <t>procame@una.cr</t>
  </si>
  <si>
    <t>Karla.vetrani.chavarria@una.cr</t>
  </si>
  <si>
    <t>2277-3723</t>
  </si>
  <si>
    <t>2277-3448</t>
  </si>
  <si>
    <t>Heredia, Campus Omar Dengo, 3 er piso Escuela de Ciencias Ambientales, Heredia.</t>
  </si>
  <si>
    <t>Francisco José González Alvarado</t>
  </si>
  <si>
    <t>2-0451-0487</t>
  </si>
  <si>
    <t>Máster en Educación</t>
  </si>
  <si>
    <t>Rector Universidad Nacional</t>
  </si>
  <si>
    <t>Ligia Bermúdez Hidalgo</t>
  </si>
  <si>
    <t>Universidad Nacional o FUNDAUNA según sea el caso</t>
  </si>
  <si>
    <t>Lunes a Viernes de 8:00 a.m. a 5:00 p.m</t>
  </si>
  <si>
    <t>En relación con la facturación se debe realizar a nombre de la Universidad Nacional en mantenimiento de la acreditación y a nombre de FUNDAUNA lo que se encuentra relacionado con auditorías</t>
  </si>
  <si>
    <t>Laboratorio de Ensayos Biologicos, LEBI</t>
  </si>
  <si>
    <t>LE-101</t>
  </si>
  <si>
    <t xml:space="preserve">Leda Gonzalez </t>
  </si>
  <si>
    <t>leda.gonzalez@ucr.ac.cr</t>
  </si>
  <si>
    <t>2511-8309</t>
  </si>
  <si>
    <t>2511-3483</t>
  </si>
  <si>
    <t xml:space="preserve">San José, detrás de la Escuela de Medicina de la Universidad de Costa Rica, San Pedro de Montes de Oca. </t>
  </si>
  <si>
    <t>San José, Rectoría, Ciudad Universitaria Rodrigo Facio, San Pedro de Montes de Oca. 
Código Postal: 11501-2060 San José Costa Rica.</t>
  </si>
  <si>
    <t>Leda González Aguilera</t>
  </si>
  <si>
    <t>2511-4565</t>
  </si>
  <si>
    <t xml:space="preserve">San José, detrás de la Escuela de Medicina de la Universidad de Costa Rica, Ciudad Universitaria Rodrigo Facio, San Pedro de Montes de Oca. </t>
  </si>
  <si>
    <t>8 a 12md y de 1 a5pm</t>
  </si>
  <si>
    <t>Contactar con el LEBi. / 18.02.2019 Retiro total voluntario de la acretitación /</t>
  </si>
  <si>
    <t>Balanzas Ballar Costa Rica S.A.</t>
  </si>
  <si>
    <t>LC-104</t>
  </si>
  <si>
    <t xml:space="preserve">LC-093 </t>
  </si>
  <si>
    <t>Juan Pablo Corrales Corrales</t>
  </si>
  <si>
    <t>calidad@romanasballar.com</t>
  </si>
  <si>
    <t xml:space="preserve"> ttrigueros@romanasballar.com;  calidad@romanasballar.com</t>
  </si>
  <si>
    <t>Santa Rosa de Santo Domingo de Heredia, de Cosmac 50 metros sur última bodega a mano derecha.</t>
  </si>
  <si>
    <t>3-101-708048</t>
  </si>
  <si>
    <t>Teresita Trigueros Quesada</t>
  </si>
  <si>
    <t>1-0545-0906</t>
  </si>
  <si>
    <t>divorciada</t>
  </si>
  <si>
    <t>comerciante</t>
  </si>
  <si>
    <t>Mainor Calvo Fernández</t>
  </si>
  <si>
    <t>Lunes, Martes y Miercoles de 8:00 am a 4:00 pm</t>
  </si>
  <si>
    <t>Copiar a todos los correos</t>
  </si>
  <si>
    <t>Laboratorio Bacteriológico BIOTEC</t>
  </si>
  <si>
    <t xml:space="preserve">LE-105 </t>
  </si>
  <si>
    <t>LE-094</t>
  </si>
  <si>
    <t>Patricia Morera Sánchez</t>
  </si>
  <si>
    <t>pmorera@laboratoriobiotec.com</t>
  </si>
  <si>
    <t>gsoto@laboratoriobiotec.com</t>
  </si>
  <si>
    <t>2440-7686</t>
  </si>
  <si>
    <t>Alajuela, 150 m sur Parque Juan Santamaría, Calle 2,
Avenida 6 y 8, Alajuela Centro.</t>
  </si>
  <si>
    <t>Giovanni Soto Artavia</t>
  </si>
  <si>
    <t>2-489-653</t>
  </si>
  <si>
    <t>Director Técnico</t>
  </si>
  <si>
    <t>Suyin Alfaro Rojas</t>
  </si>
  <si>
    <t>Laboratorio Bacteriológico Biotec</t>
  </si>
  <si>
    <t>Lunes a Viernes 8:00-12:00 y 1:00 a 5:00</t>
  </si>
  <si>
    <t>BIOTEC</t>
  </si>
  <si>
    <t>Laboratorio Raúl H. Melo</t>
  </si>
  <si>
    <t>LE-106</t>
  </si>
  <si>
    <t>LE-086</t>
  </si>
  <si>
    <t>Omar Peña De Coo</t>
  </si>
  <si>
    <t xml:space="preserve"> opena@codocafe.gob.do</t>
  </si>
  <si>
    <t xml:space="preserve"> opena.proca2@gmail.com;</t>
  </si>
  <si>
    <t>(809)532-9358</t>
  </si>
  <si>
    <t>(809)535-3894</t>
  </si>
  <si>
    <t>República Dominicana, Calle Rafael Damirón, esquina Avenida Comandante Jiménez Moya, Santo Domingo</t>
  </si>
  <si>
    <t>4-24-00057-3</t>
  </si>
  <si>
    <t>Marino Suárez Joran</t>
  </si>
  <si>
    <t>048-0010264-4</t>
  </si>
  <si>
    <t>Dominicano</t>
  </si>
  <si>
    <t>Ingeniero Agrónomo</t>
  </si>
  <si>
    <t xml:space="preserve"> Santo Domingo, Calle Francisco Prats Ramírez #251, Ensanche Evaristo Morales, República Dominicana</t>
  </si>
  <si>
    <t>Natalia Pena</t>
  </si>
  <si>
    <t>Consejo Dominicano del Café</t>
  </si>
  <si>
    <t>Santo Domingo, Av. Independecia, Esq. Larimar #58, km 7 1/2 de la Sanchez</t>
  </si>
  <si>
    <t>L/V 8:00 am-4:00pm</t>
  </si>
  <si>
    <t>CODOCAFE</t>
  </si>
  <si>
    <t xml:space="preserve">Laboratorio de Control de Calidad HOLCIM Costa Rica </t>
  </si>
  <si>
    <t xml:space="preserve">HOLCIM Costa Rica </t>
  </si>
  <si>
    <t>LE-107</t>
  </si>
  <si>
    <t>A03: 10/07/2024</t>
  </si>
  <si>
    <t>Raúl Solís Steller
Sergio Céspedes</t>
  </si>
  <si>
    <t>raul.soliss@holcim.com</t>
  </si>
  <si>
    <t>sergio.cespedes@holcim.com</t>
  </si>
  <si>
    <t xml:space="preserve"> 2550-8140
8312-6707
6052-3198</t>
  </si>
  <si>
    <t>2552-8384</t>
  </si>
  <si>
    <t>Cartago, 3.5 km al sur de la esquina SE de los Tribunales de Justicia, Agua Caliente de Cartago</t>
  </si>
  <si>
    <t>3-101-006846</t>
  </si>
  <si>
    <t>David Romero García</t>
  </si>
  <si>
    <t>Apoderado generalisimo sin límite de suma</t>
  </si>
  <si>
    <t>Andrei Ulate</t>
  </si>
  <si>
    <t>Holcim Costa Rica S.A.</t>
  </si>
  <si>
    <t>2550-8146</t>
  </si>
  <si>
    <t>2552-83-84</t>
  </si>
  <si>
    <t>andrei.ulate@holcim.com;recepcionfe-cr@lafargeholcim.com</t>
  </si>
  <si>
    <t>L-V de 7:00 a.m a 4:30 p.m</t>
  </si>
  <si>
    <t>Holcim</t>
  </si>
  <si>
    <t>Las facturas deben venir a nombre de la empresa y no una persona física.</t>
  </si>
  <si>
    <t>Referencia Laboratorio Clínico</t>
  </si>
  <si>
    <t>LE-108</t>
  </si>
  <si>
    <t>Lic. Amarilis Durán</t>
  </si>
  <si>
    <t>amarilisd@labreferencia.com</t>
  </si>
  <si>
    <t> amarilis7240@gmail.com</t>
  </si>
  <si>
    <t>(809) 221-5545 Ext. 2250</t>
  </si>
  <si>
    <t>(809) 538-0081</t>
  </si>
  <si>
    <t>República Dominicana, Ave. Independencia No. 202, Condominio Santa Ana, Gazcue, Distrito Nacional, Santo Domingo.</t>
  </si>
  <si>
    <t>Lic. Patricia León Michel</t>
  </si>
  <si>
    <t>001-1131187-4</t>
  </si>
  <si>
    <t xml:space="preserve">Dominica </t>
  </si>
  <si>
    <t>Bionalista</t>
  </si>
  <si>
    <t>Ave. Luperón No.3, casi esq. Mirador Sur, Zona Industrial de Herrera, Santo Domingo Oeste</t>
  </si>
  <si>
    <t>Directora Ejecutiva</t>
  </si>
  <si>
    <t>Lic. Marys Esteves</t>
  </si>
  <si>
    <t>Gerente de Contabilidad</t>
  </si>
  <si>
    <t>221-5545 Ext. 2250</t>
  </si>
  <si>
    <t>Santo Domingo, Ave. Independencia No. 202, Condominio Santa Ana, Gazcue, Distrito Nacional.</t>
  </si>
  <si>
    <t>(809)333-7545</t>
  </si>
  <si>
    <t xml:space="preserve"> Mryse@labreferencia.com;</t>
  </si>
  <si>
    <t>8 - 5 PM</t>
  </si>
  <si>
    <t>Fecha de retiro: 2021/01/19</t>
  </si>
  <si>
    <t>Proxtronics CR Ltda.</t>
  </si>
  <si>
    <t>LE-109</t>
  </si>
  <si>
    <t>A01: 26/06/2025</t>
  </si>
  <si>
    <t>Javier Campos Segura </t>
  </si>
  <si>
    <t>calidad@proxcr.com</t>
  </si>
  <si>
    <t xml:space="preserve"> (506) 2262-7332</t>
  </si>
  <si>
    <t>4034-6580</t>
  </si>
  <si>
    <t>Heredia, 200 m norte del Liceo Samuel Saénz Flores, Heredia</t>
  </si>
  <si>
    <t>3-102-445375</t>
  </si>
  <si>
    <t>Jorge Rojas Campos</t>
  </si>
  <si>
    <t>1-853-486</t>
  </si>
  <si>
    <t>Físico</t>
  </si>
  <si>
    <t>Heredia, 200 norte del Liceo Samuel Saénz Flores, Heredia</t>
  </si>
  <si>
    <t>Cindy Pacheco</t>
  </si>
  <si>
    <t>PROXTRONICS CR LTDA</t>
  </si>
  <si>
    <t>8am - 5 pm</t>
  </si>
  <si>
    <t>Centro de Investigación en Corrosion ICE</t>
  </si>
  <si>
    <t>LE-112</t>
  </si>
  <si>
    <t>LE-099</t>
  </si>
  <si>
    <t>Javier Robles Cordero</t>
  </si>
  <si>
    <t>2000-4517</t>
  </si>
  <si>
    <t>2297-4020</t>
  </si>
  <si>
    <t>San José, de la Metalco 500 m sur, 150 m oeste y 50 m norte, Colima de Tibás.</t>
  </si>
  <si>
    <t> Alexander Solís Barboza</t>
  </si>
  <si>
    <t>1 677 013</t>
  </si>
  <si>
    <t>casado una vez</t>
  </si>
  <si>
    <t>ingeniero Civil</t>
  </si>
  <si>
    <t xml:space="preserve">San José, 400 norte, Edificio UEN PySA, piso 1, Sabana Norte. </t>
  </si>
  <si>
    <t>Director Negocio Ingenieria y Construcción de la Gerencia de Electricidad del ICE</t>
  </si>
  <si>
    <t xml:space="preserve">Carmen Rojas </t>
  </si>
  <si>
    <t>San José, del Edificio Principal del ICE , 500 norte, en Sabana Norte.</t>
  </si>
  <si>
    <t>7:00 a.m. a 4:36 p.m.</t>
  </si>
  <si>
    <t>Unidad de Laboratorios Químicos - ICE</t>
  </si>
  <si>
    <t>LE-112/118</t>
  </si>
  <si>
    <t>LE-099/104</t>
  </si>
  <si>
    <t>A01: 17/05/2023</t>
  </si>
  <si>
    <t xml:space="preserve">jroblesco@ice.go.cr; </t>
  </si>
  <si>
    <t>jroblesco@outlook.com</t>
  </si>
  <si>
    <t xml:space="preserve">4 0000 42139 </t>
  </si>
  <si>
    <t>https://www.grupoice.com/wps/portal/ICE/electricidad/laboratorioss/laboratorios-metrologicosyquimicos/lab-quimicos</t>
  </si>
  <si>
    <t>Laboratorio de Investigaciones Carmen de Corporación de Desarrollo Agrícola del Monte</t>
  </si>
  <si>
    <t>LE-113</t>
  </si>
  <si>
    <t>LE-100</t>
  </si>
  <si>
    <t>Ing. Denis Morales García</t>
  </si>
  <si>
    <t>cjimenez3@freshdelmonte.com</t>
  </si>
  <si>
    <t>2769-1415</t>
  </si>
  <si>
    <t>2769-1860</t>
  </si>
  <si>
    <t xml:space="preserve">Limón, frente a la Iglesia Católica, Camen 2, Siquirres. </t>
  </si>
  <si>
    <t>Limón</t>
  </si>
  <si>
    <t>3-101-010882</t>
  </si>
  <si>
    <t>Sr. Donald Murray Unwin</t>
  </si>
  <si>
    <t>1-379-148</t>
  </si>
  <si>
    <t>Biólogo</t>
  </si>
  <si>
    <t>Sustituto del coordinador Sistema Gestión del Laboratorio</t>
  </si>
  <si>
    <t>Jefe del laboratorio</t>
  </si>
  <si>
    <t>Kattya Sánchez Chan</t>
  </si>
  <si>
    <t>2769-1415 ext 4310</t>
  </si>
  <si>
    <t>7am-12pm 1pm-5,30 pm</t>
  </si>
  <si>
    <t>Corporación de Desarrollo Agrícola del Monte</t>
  </si>
  <si>
    <t>28.01.2016 Retiro de acreditación voluntaria</t>
  </si>
  <si>
    <t xml:space="preserve">Centro Tecnológico de Concreto (CETEC)  Holcim Costa Rica </t>
  </si>
  <si>
    <t>LE-114</t>
  </si>
  <si>
    <t>Dilan Masis</t>
  </si>
  <si>
    <t>dilan.masis@lafargeholcim.com;</t>
  </si>
  <si>
    <t xml:space="preserve"> delsa.alfaror@lafargeholcim.com</t>
  </si>
  <si>
    <t>2205-2986 / 2205-2984 / 8703-2980/8326-4533</t>
  </si>
  <si>
    <t>2205-2700</t>
  </si>
  <si>
    <t>Apoderado generalísimo sin límite de suma</t>
  </si>
  <si>
    <t>Cartago, Agua Caliente.</t>
  </si>
  <si>
    <t>francesco.rossi@holcim.com;recepcionfe-cr@lafargeholcim.com</t>
  </si>
  <si>
    <t>Holcim Costa Rica</t>
  </si>
  <si>
    <t>Retiro voluntario mediante acuerdo CA-017-2023-08
Las facturas deben venir a nombre de la empresa y no una persona física.                                                                                             28.01.2014  Suspensión voluntaria total del alcance por un periodo de 6 messes, del 14.01.2014 al 28.06.2014</t>
  </si>
  <si>
    <t>Central de Ingenios S.A.</t>
  </si>
  <si>
    <t>LE-115</t>
  </si>
  <si>
    <t>LE-103</t>
  </si>
  <si>
    <t xml:space="preserve">Fabiola Alvarez </t>
  </si>
  <si>
    <t xml:space="preserve">falvarez@cisahn.com </t>
  </si>
  <si>
    <t>(504) 2509-7700</t>
  </si>
  <si>
    <t xml:space="preserve"> (504) 2559-1964</t>
  </si>
  <si>
    <t>Honduras, Boulevard del Este , 200 m de la entrada desvío Colonia Rivera Hernández, San Pedro Sula, Cortés.</t>
  </si>
  <si>
    <t>Claudio Ferrera</t>
  </si>
  <si>
    <t>0501-1948-00856</t>
  </si>
  <si>
    <t xml:space="preserve">Hondurena </t>
  </si>
  <si>
    <t xml:space="preserve">Lic. Admon de Empresas </t>
  </si>
  <si>
    <t>Honduras, Boulevard del Este , 200 de la entrada desvío Colonia Rivera Hernández, San Pedro Sula.</t>
  </si>
  <si>
    <t xml:space="preserve">Director Ejecutivo </t>
  </si>
  <si>
    <t>Rafael Calix</t>
  </si>
  <si>
    <t xml:space="preserve">Rafael Calix </t>
  </si>
  <si>
    <t xml:space="preserve"> (504) 2550-0110</t>
  </si>
  <si>
    <t xml:space="preserve"> (504) 2550-1964</t>
  </si>
  <si>
    <t xml:space="preserve">8.00 a 5.00 pm </t>
  </si>
  <si>
    <t>CA-005-2023-06 Aceptar la solicitud de retiro voluntario de la acreditación del laboratorio de ensayos, Central de Ingenios S.A., cédula jurídica 5019995104574, con expediente LE-115. De acuerdo con el punto 2 del ECA-MC-P34, el OEC debe cumplir los siguientes lineamientos: − Cesar inmediatamente el uso del símbolo de acreditación, en todo documento o publicidad que contenga cualquier referencia a su condición de acreditado. − Comunicar a todos sus clientes sobre el retiro de la acreditación. − Informar en un plazo de 10 días hábiles a partir de la notificación del acuerdo, al correo gc@eca.or.cr, la evidencia del cumplimiento del plan de acciones requerido para el proceso de retiro de acreditación, donde se incluya al menos lo siguiente: Cómo el OEC realizará el cese inmediato el uso del símbolo de acreditación, en todo documento o publicidad que contenga cualquier referencia a su condición de acreditado. La comunicación a todos sus clientes sobre el retiro de la acreditación. Las modificaciones o afectaciones en el sistema del sistema de gestión; otras actividades que se consideren necesarias; los tiempos de implementación de estas actividades.</t>
  </si>
  <si>
    <t>Laboratorio de Microbiología de Aguas UCR</t>
  </si>
  <si>
    <t>LE-117</t>
  </si>
  <si>
    <t>LE-102</t>
  </si>
  <si>
    <t>María Laura Arias EchandI</t>
  </si>
  <si>
    <t>maria.ariasechandi@ucr.ac.cr</t>
  </si>
  <si>
    <t>caro1798@gmail.com</t>
  </si>
  <si>
    <t>2511 -8643</t>
  </si>
  <si>
    <t>2511 -4270</t>
  </si>
  <si>
    <t>San José, Segundo piso de la Facultad de Microbiología, Universidad de Costa Rica, San Pedro de Montes de Oca.</t>
  </si>
  <si>
    <t>2511 1777</t>
  </si>
  <si>
    <t xml:space="preserve">San José, 100 este y 200 norte de la Fuente de la Hispanidad, San Pedro de Montes de Oca  </t>
  </si>
  <si>
    <t>2225 3876</t>
  </si>
  <si>
    <t>fundevi.ucr.ac.cr;</t>
  </si>
  <si>
    <t>7:30 am a 4:00 pm</t>
  </si>
  <si>
    <t xml:space="preserve"> UCR</t>
  </si>
  <si>
    <t>Laboratorio Químico de Aceites y Combustibles, Negocio de Generación, ICE</t>
  </si>
  <si>
    <t>LE-118</t>
  </si>
  <si>
    <t>LE-104</t>
  </si>
  <si>
    <t>2501-1081</t>
  </si>
  <si>
    <t>2220-6665</t>
  </si>
  <si>
    <t>San José, Instituto Costarricense de Electricidad, Plantel de Colima de Tibás, puesto 2, Colima de Tibás</t>
  </si>
  <si>
    <t>4-000-042139</t>
  </si>
  <si>
    <t>Alberto Ramírez  Quíros</t>
  </si>
  <si>
    <t>3-0201-0779</t>
  </si>
  <si>
    <t>Ing. En Mantenimiento Industrial</t>
  </si>
  <si>
    <t>San José, Edificio Central del ICE UEN-PE Piso 8, Mata redonda, Sabana Norte.</t>
  </si>
  <si>
    <t>Jefatura inmediata de la RAD</t>
  </si>
  <si>
    <t xml:space="preserve">Alejandro Calderón Segura </t>
  </si>
  <si>
    <t>Apoyo administrativo CSTRC</t>
  </si>
  <si>
    <t>2520-8812</t>
  </si>
  <si>
    <t>2240-6107</t>
  </si>
  <si>
    <t>lunes a jueves 7:00 a 17:00 y viernes de 7:00 a 15:00</t>
  </si>
  <si>
    <t>Laboratorio de Aseguramiento de Calidad de Planta Cristal, Florida Bebidas, División Refrescos y Lácteos</t>
  </si>
  <si>
    <t>LE-119</t>
  </si>
  <si>
    <t>Vanessa López Mesén</t>
  </si>
  <si>
    <t>2437-6309</t>
  </si>
  <si>
    <t>2437-6402</t>
  </si>
  <si>
    <t>Heredia, Planta Cristal</t>
  </si>
  <si>
    <t>Ramón De Mendiola Sánchez</t>
  </si>
  <si>
    <t>Heredia, Edificio Corporativo</t>
  </si>
  <si>
    <t xml:space="preserve">Director General </t>
  </si>
  <si>
    <t>Productora La Florida S.A</t>
  </si>
  <si>
    <t xml:space="preserve">Rebeca Acuña Acuña </t>
  </si>
  <si>
    <t>2437-6300</t>
  </si>
  <si>
    <t>8 a 5</t>
  </si>
  <si>
    <t>Florida Bebidas, División Refrescos y Lácteos</t>
  </si>
  <si>
    <t>26.08.2014 Retiro de acreditación</t>
  </si>
  <si>
    <t>Laboratorio de Calibración de Planta Cristal, Florida Bebidas, División Refrescos</t>
  </si>
  <si>
    <t>LC-120</t>
  </si>
  <si>
    <t>LC-108</t>
  </si>
  <si>
    <t>Roberto Cubero López</t>
  </si>
  <si>
    <t>2437-6317</t>
  </si>
  <si>
    <t>Florida</t>
  </si>
  <si>
    <t>Laboratorio de Ingeniería de Materiales y Pavimentos S.A. LIMPSA</t>
  </si>
  <si>
    <t>LE-121</t>
  </si>
  <si>
    <t>LE-105</t>
  </si>
  <si>
    <t>LE-105-A01: 10 de Febrero de 2015
LE-105-A02: 08 de Diciembre del 2016
LE-105-A03: 15 de Diciembre del 2016
LE-105-A04: 16 de Marzo del 2017
LE-105-A05: 16 de Enero del 2018
LE-105-A06: 5 agosto 2020
LE-105-A07 28 marzo 2023</t>
  </si>
  <si>
    <t>Adriana Mahecha Chicué</t>
  </si>
  <si>
    <t>gerenciageneral@limpsacr.com</t>
  </si>
  <si>
    <t>gestorcalidad@limpsacr.com</t>
  </si>
  <si>
    <t>2772-6463</t>
  </si>
  <si>
    <t>San José, 800 m noreste de la Escuela Los Chiles, carretera a General Viejo, Daniel Flores, Pérez Zeledón.</t>
  </si>
  <si>
    <t>3-101-636961</t>
  </si>
  <si>
    <t>Colombiana</t>
  </si>
  <si>
    <t>Lic. Administración</t>
  </si>
  <si>
    <t>San José, 800 noreste de la Escuela Los Chiles, carretera a General Viejo, Daniel Flores, Pérez Zeledón.</t>
  </si>
  <si>
    <t>Ivannia Arias López</t>
  </si>
  <si>
    <t>LABOTARORIO DE INGENIERIA DE MATERIALES Y PAVIMENTOS S.A.</t>
  </si>
  <si>
    <t>facturaselectronicas@limpsacr.com</t>
  </si>
  <si>
    <t>7:00 A.M. - 5:00 P.M. LUNES A VIERNES</t>
  </si>
  <si>
    <t>Laboratorio de Ingeniería de Materiales y Pavimentos S.A.</t>
  </si>
  <si>
    <t xml:space="preserve">A07 28/2/23
A06 5/8/20
</t>
  </si>
  <si>
    <t>Area de Inspección y Verificación de la Calidad, de la Dirección de Calidad e Inocuidad del Consejo Nacional de Producción</t>
  </si>
  <si>
    <t>LE-122</t>
  </si>
  <si>
    <t>David Adolfo Araya Amador</t>
  </si>
  <si>
    <t xml:space="preserve"> hroddriguez@cnp.go.cr
</t>
  </si>
  <si>
    <t xml:space="preserve">hroddriguez@cnp.go.cr
</t>
  </si>
  <si>
    <t>2265-3337</t>
  </si>
  <si>
    <t>Heredia, Planta la China, San Joaquín de Flores.</t>
  </si>
  <si>
    <t>4-000-042146</t>
  </si>
  <si>
    <t>Edgar Isaac Vargas González</t>
  </si>
  <si>
    <t xml:space="preserve">Hansel Rodríguez Jiménez, </t>
  </si>
  <si>
    <t>Consejo Nacional de Produccion</t>
  </si>
  <si>
    <t>2265-3338</t>
  </si>
  <si>
    <t>San José, del almacén Yamuni en Sabana este, 100 al sur, Avenida 10, calle 36.</t>
  </si>
  <si>
    <t>2257-9355</t>
  </si>
  <si>
    <t>hrodriguez@cnp.go.cr; hanselrodriguezj@gmail.com</t>
  </si>
  <si>
    <t>Lunea a Viernes de 7:30am a 3:45pm</t>
  </si>
  <si>
    <t>Consejo Nacional de la Producción (CNP)</t>
  </si>
  <si>
    <t>INDOCAL</t>
  </si>
  <si>
    <t xml:space="preserve">Instituto Dominicano para la Calidad (INDOCAL) </t>
  </si>
  <si>
    <t>LC-123</t>
  </si>
  <si>
    <t>LC-113</t>
  </si>
  <si>
    <t>A02: 16/12/2024</t>
  </si>
  <si>
    <t>Carlos Acosta</t>
  </si>
  <si>
    <t>INDOCAL@indocal.gob.do</t>
  </si>
  <si>
    <t>cacosta@indocal.gob.do</t>
  </si>
  <si>
    <t>(809) 686-2205</t>
  </si>
  <si>
    <t>República Dominicana, Santo Domingo, Distrito Nacional, Gazcue, Paseo Presidente Vicini Burgos #60.</t>
  </si>
  <si>
    <t>430-128-317</t>
  </si>
  <si>
    <t>www.indocal.gob.do</t>
  </si>
  <si>
    <t>Lorenzo David Ramírez Uribe</t>
  </si>
  <si>
    <t>001-1289215-3</t>
  </si>
  <si>
    <t xml:space="preserve">República Dominicana, Santo Domingo de Guzman, Distrito Nacional, Sector San Gerónimo. </t>
  </si>
  <si>
    <t>INDOCAL@indocal.gob.do cacosta@indocal.gob.do</t>
  </si>
  <si>
    <t>Director General del INDOCAL</t>
  </si>
  <si>
    <t>Sección de facturación y cobros</t>
  </si>
  <si>
    <t>(809) 686-2205 ext. 311 y 292</t>
  </si>
  <si>
    <t>República Dominicana, Santo Domingo, Distrito Nacional, San Gerónimo, C/Olof Palme, Esq. Nunez de Caceres.</t>
  </si>
  <si>
    <t>ccolon@indocal.gob.do</t>
  </si>
  <si>
    <t>de 8:00 am - 4:00 pm de lunes a viernes (hora dominicana)</t>
  </si>
  <si>
    <t>WATERLAB</t>
  </si>
  <si>
    <t>LE-124</t>
  </si>
  <si>
    <t>Bartholomeus Cornelus Marcus Van Stekelenburg</t>
  </si>
  <si>
    <t>2282-0780</t>
  </si>
  <si>
    <t>2282-1309</t>
  </si>
  <si>
    <t xml:space="preserve">San José, 200 m este de Plaza Obelisco, calle Juturna, Santa Ana. </t>
  </si>
  <si>
    <t>3-101-636420</t>
  </si>
  <si>
    <t xml:space="preserve">San José, 200 este de Plaza Obelisco, calle Juturna, Santa Ana. </t>
  </si>
  <si>
    <t>Representante legal</t>
  </si>
  <si>
    <t>Ericka Martínez Esquivel</t>
  </si>
  <si>
    <t>L-V: 8:00 a.m. - 5:00 p.m.</t>
  </si>
  <si>
    <t>Retiro voluntario de acreditación 10.10.2017</t>
  </si>
  <si>
    <t>Laboratorio de Microbiología de Empacadora de Productos Acuáticos San Lorenzo S.A. de C.V.</t>
  </si>
  <si>
    <t>Laboratorio de Microbiología de Empacadora de Productos Acuáticos San Lorenzo SA de CV</t>
  </si>
  <si>
    <t>LE-125</t>
  </si>
  <si>
    <t>A01:20/01/2025</t>
  </si>
  <si>
    <t>Alejandra Morales</t>
  </si>
  <si>
    <t>amorales@granjasmarinas.com</t>
  </si>
  <si>
    <t>laboratorio_esl@granjasmarinas.com</t>
  </si>
  <si>
    <t xml:space="preserve">(504) 3352 3846
(504) 2781-2028 Ext 328/344 </t>
  </si>
  <si>
    <t>Honduras, Barrio Puerto Viejo frente a Plaza Marina, San Lorenzo.</t>
  </si>
  <si>
    <t>Valle</t>
  </si>
  <si>
    <t>´06029995442848</t>
  </si>
  <si>
    <t xml:space="preserve">NA </t>
  </si>
  <si>
    <t>Juan Carlos Javier Medina</t>
  </si>
  <si>
    <t>Honduras, Choluteca, El Cortijo, calle principal, Contiguo a perruquería</t>
  </si>
  <si>
    <t>jjavier@granjasmarinas.com</t>
  </si>
  <si>
    <t>Departamento de compras</t>
  </si>
  <si>
    <t>Yesica Hernández</t>
  </si>
  <si>
    <t>(504) 9864 6438</t>
  </si>
  <si>
    <t>Honduras, Oficinas corporativas, Grupo Granjas Marinas, Barrio El Cortijo, calle El Aterrizaje Choluteca, Choluteca.</t>
  </si>
  <si>
    <t>yhernandez@granjasmarinas.com</t>
  </si>
  <si>
    <t xml:space="preserve"> Empacadora de Productos Acuáticos San Lorenzo S.A. de C.V.</t>
  </si>
  <si>
    <t>TecnoControl Laboratorio S.A.</t>
  </si>
  <si>
    <t>LE-126</t>
  </si>
  <si>
    <t>LE-110</t>
  </si>
  <si>
    <t>Roger Esquivel /
Emilia Esquivel</t>
  </si>
  <si>
    <t>roesqui@tecnocontrolcr.net</t>
  </si>
  <si>
    <t>e.esquivel@tecnocontrolcr.net</t>
  </si>
  <si>
    <t>2440-3419 / 8467-3000</t>
  </si>
  <si>
    <t>Alajuela, Oficentro Terrum, edificio #27, Río Segundo de Alajuela.</t>
  </si>
  <si>
    <t>3-101-585172</t>
  </si>
  <si>
    <t>Roger Esquivel Benavides</t>
  </si>
  <si>
    <t>4-0102-0144</t>
  </si>
  <si>
    <t>Gerente General (Propietario)</t>
  </si>
  <si>
    <t>Lic. Yorleny Carvajal</t>
  </si>
  <si>
    <t>Tecnocontrol Laboratorio S.A.</t>
  </si>
  <si>
    <t>2440-2978</t>
  </si>
  <si>
    <t>Alajuela, Centro de Negocios Terrum, oficina #27.</t>
  </si>
  <si>
    <t>2440-3419</t>
  </si>
  <si>
    <t>L-V 7am/5pm</t>
  </si>
  <si>
    <t>Suspensión a partir del 2022.05.25 hasta que se verifique que se encuentra al día con sus obligaciones en la CCSS</t>
  </si>
  <si>
    <t xml:space="preserve">Laboratorio Microtec </t>
  </si>
  <si>
    <t>LE-127</t>
  </si>
  <si>
    <t>Luis Diego Gené Antillón</t>
  </si>
  <si>
    <t>calidad@labmicrotec.com</t>
  </si>
  <si>
    <t>4108-0000</t>
  </si>
  <si>
    <t>San José, 200 m oeste de la Embajada Americana, Pavas.</t>
  </si>
  <si>
    <t>3-101-054793</t>
  </si>
  <si>
    <t>Dr. Jose Antonio Gené Valverde</t>
  </si>
  <si>
    <t>1-1239-0767</t>
  </si>
  <si>
    <t>San José, 200 oeste de la Embajada Americana, Pavas.</t>
  </si>
  <si>
    <t xml:space="preserve"> Presidente con representación judicial y extrajudicial y apoderado generalísimo sin límite de suma</t>
  </si>
  <si>
    <t>Roberto Gené</t>
  </si>
  <si>
    <t>Microtec S.A</t>
  </si>
  <si>
    <t> contabilidad@labmicrotec.com;  servicioalcliente@labmicrotec.com</t>
  </si>
  <si>
    <t>L-V 8:00AM A 5:00PM Y SABADOS DE 8:00 A 12:00</t>
  </si>
  <si>
    <t>1/7/2019, Ampliación de alcance de acreditación especificacmente para el área dfe microbiología, ensayo MP02-Mi-132 recuento de mohos y levaduras con técnica rápida en petrifilm, en Micrrotec Pavas. // 26/4/2019. Se modifica el alcance de acreditación para incluir el alcance flexible en determinación de plaguicidas</t>
  </si>
  <si>
    <t>Microbiología y Calidad Industrial MCI S.A</t>
  </si>
  <si>
    <t>LE-128</t>
  </si>
  <si>
    <t>LE-111</t>
  </si>
  <si>
    <t>Roberto Ávila Arias</t>
  </si>
  <si>
    <t>ravila@mci-cr.com</t>
  </si>
  <si>
    <t>yrojas@mci-cr.com; mmonge@mci-cr.com; calidad@mci-cr.com</t>
  </si>
  <si>
    <t>7005-5497/7005-5498</t>
  </si>
  <si>
    <t>2438-5062</t>
  </si>
  <si>
    <t>Alajuela, Zona Franca Z, Montecillos, edificio 33</t>
  </si>
  <si>
    <t>3-101-600184</t>
  </si>
  <si>
    <t xml:space="preserve">Mauren Monge Mora </t>
  </si>
  <si>
    <t>1-1022-0852</t>
  </si>
  <si>
    <t>Ingeniera en Biotecnología</t>
  </si>
  <si>
    <t xml:space="preserve"> Secretaria  de la sociedad anonima y Especialista Técnico, con facultades de  apoderada generalisima sin limite de suma y con representación judicial y extrajudicial </t>
  </si>
  <si>
    <t>Luisa Cordero Mora</t>
  </si>
  <si>
    <t>2439-0901</t>
  </si>
  <si>
    <t>2439-5062</t>
  </si>
  <si>
    <t>Lunes a Viernes de 8:00 a 5:00</t>
  </si>
  <si>
    <t>Laboratorio de Calibración FADSA</t>
  </si>
  <si>
    <t>LC-129</t>
  </si>
  <si>
    <t>LC-119</t>
  </si>
  <si>
    <t>A03:18/10/2024</t>
  </si>
  <si>
    <t>Doris Sarina Ortíz Discua</t>
  </si>
  <si>
    <t>dortiz@disagro.com</t>
  </si>
  <si>
    <t>durizar@disagro.com</t>
  </si>
  <si>
    <t>(504) 2551-3070 Ext. 7127, 2504-7152 Ext.4052</t>
  </si>
  <si>
    <t>Honduras, Boulevard del Norte, borde derecho Río Blanco, San Pedro Sula, Cortés.</t>
  </si>
  <si>
    <t>05019005471992</t>
  </si>
  <si>
    <t>www.disagro.com</t>
  </si>
  <si>
    <t>Marlon Daniel Urizar Sánchez</t>
  </si>
  <si>
    <t>2932 85039 0101</t>
  </si>
  <si>
    <t>MAI Ingeniero Industrial</t>
  </si>
  <si>
    <t>Honduras, Blvd.del Norte,150 después del puente Río Blanco, San Pedro Sula, Cortés.</t>
  </si>
  <si>
    <t>Gerente Comercial de F. A. Dalton S. A. de C.V.  </t>
  </si>
  <si>
    <t>Linda Casco</t>
  </si>
  <si>
    <t>F.A DALTON S.A DE C.V</t>
  </si>
  <si>
    <t>(504) 2551-3070 /           2504-7152</t>
  </si>
  <si>
    <t>Honduras, Boulevard del Norte, borde derecho Río Blanco, San Pedro Sula.</t>
  </si>
  <si>
    <t> De Lunes a Viernes de 7:30 am – 5:30 pm</t>
  </si>
  <si>
    <t>FADSA</t>
  </si>
  <si>
    <t xml:space="preserve">  CIVCO
 Centro de Investigación en Vivienda y Construcción 
Instituto Tecnológico de Costa Rica</t>
  </si>
  <si>
    <t>Instituto Tecnológico de Costa Rica</t>
  </si>
  <si>
    <t>LE-130</t>
  </si>
  <si>
    <t xml:space="preserve">Ing. Giannina Ortiz Quesada </t>
  </si>
  <si>
    <t>gortiz@itcr.ac.cr</t>
  </si>
  <si>
    <t>gortiz@tec.ac.cr; avillalobos@tec.ac.cr</t>
  </si>
  <si>
    <t>2550-2309/2550-2172/8921-6315</t>
  </si>
  <si>
    <t>2551-6663</t>
  </si>
  <si>
    <t> Cartago, 400 m este, Estadio Fello Meza, (Sede Central I.T.C.R.)</t>
  </si>
  <si>
    <t>4-000-042145</t>
  </si>
  <si>
    <t> Luis Paulino Méndez Badilla</t>
  </si>
  <si>
    <t>1-0499-0080</t>
  </si>
  <si>
    <t> Cartago, 400 este, Estadio Fello Meza, (Sede Central I.T.C.R.)</t>
  </si>
  <si>
    <t xml:space="preserve">Rector </t>
  </si>
  <si>
    <t> I.T.C.R.</t>
  </si>
  <si>
    <t>2550-2309</t>
  </si>
  <si>
    <t>2551-0046</t>
  </si>
  <si>
    <t>Centro de Investigaciones en Vivienda y Construcción</t>
  </si>
  <si>
    <t>04.06.2019. Ampliación 2. con Inclusión de ensayos por ampliación otorgada en comisión CA-007-2019</t>
  </si>
  <si>
    <t>Metaldom S.A.</t>
  </si>
  <si>
    <t>LE-131</t>
  </si>
  <si>
    <t>Wendy Altagracia Reynoso Peralta
/Yudelkis Villa</t>
  </si>
  <si>
    <t>wendy.reynoso@metaldom.com</t>
  </si>
  <si>
    <t>yudelkis.villa@metaldom.com</t>
  </si>
  <si>
    <t>809-559-7500 ext: 2238/ 809-366-1200</t>
  </si>
  <si>
    <t>809-559-8068</t>
  </si>
  <si>
    <t>República Dominicana, Autopista Duarte Km 23 Parque Industrial Duarte, Santo Domingo.</t>
  </si>
  <si>
    <t>RNC 1-01-00484-3, Registro Mercantil 11156SD</t>
  </si>
  <si>
    <t>RODRIGO BELLOC SOARES</t>
  </si>
  <si>
    <t>Pasaporte Brasileño No. YC509332</t>
  </si>
  <si>
    <t>Brasileño</t>
  </si>
  <si>
    <t xml:space="preserve"> Carretera Villa Mella, Zona Industrial La Isabela, del municipio Santo Domingo Norte, provincia Santo Domingo, República Dominicana</t>
  </si>
  <si>
    <t>Presidente Ejecutivo</t>
  </si>
  <si>
    <t>Leandro Peguero</t>
  </si>
  <si>
    <t>Gerdau Metaldom</t>
  </si>
  <si>
    <t>809-239-7207</t>
  </si>
  <si>
    <t xml:space="preserve">Santo Domingo, Gerdau Metaldom, Autopista Duarte Km 23 Parque Industrial Duarte. </t>
  </si>
  <si>
    <t> 809-987-7526</t>
  </si>
  <si>
    <t>De 08:00 Am a 05:00 Pm</t>
  </si>
  <si>
    <t>Gerdau Metaldom, S.A.</t>
  </si>
  <si>
    <t>Laboratorio de Análisis de Residuos de Agroquímicos</t>
  </si>
  <si>
    <t>Servicio Fitosanitario del Estado</t>
  </si>
  <si>
    <t>LE-132</t>
  </si>
  <si>
    <t>A06: 15/10/2024</t>
  </si>
  <si>
    <t>Kattia Murillo Alfaro</t>
  </si>
  <si>
    <t>kmurilloa@mag.go.cr</t>
  </si>
  <si>
    <t xml:space="preserve">katmuria@gmail.com </t>
  </si>
  <si>
    <t>2549-3400/2549-3613</t>
  </si>
  <si>
    <t>2549-3431</t>
  </si>
  <si>
    <t>San José, 250 m al sur de Teletica canal 7, Sabana Sur.</t>
  </si>
  <si>
    <t>3-007-521568</t>
  </si>
  <si>
    <t>Nelson Morera Paniagua</t>
  </si>
  <si>
    <t>San José, 250 al sur de Teletica canal 7, Sabana Sur.</t>
  </si>
  <si>
    <t>Suspensión parcial 27/10/25</t>
  </si>
  <si>
    <t>Centro de Servicios Técnicos ELVATRON S.A.</t>
  </si>
  <si>
    <t>LC-133</t>
  </si>
  <si>
    <t>LC-116</t>
  </si>
  <si>
    <t>Oscar Sibaja Seravalli</t>
  </si>
  <si>
    <t xml:space="preserve">gestion.calidad@elvatron.com;
</t>
  </si>
  <si>
    <t>oscar.sibaja@elvatron.com;
 marilyn.castillo@elvatron.com</t>
  </si>
  <si>
    <t>2242 9900 ext 307/ 8844 3994</t>
  </si>
  <si>
    <t>2520-0697</t>
  </si>
  <si>
    <t>San José, 200 m Norte y 100 m Oeste de CAPRIS, La Uruca.</t>
  </si>
  <si>
    <t>3-101-020826</t>
  </si>
  <si>
    <t>Dirk Haase Mauss</t>
  </si>
  <si>
    <t>1-0596-0282</t>
  </si>
  <si>
    <t>Casado una vez</t>
  </si>
  <si>
    <t>Ingeniero</t>
  </si>
  <si>
    <t>Vecino de Alajuela</t>
  </si>
  <si>
    <t>Apoderado Generalísimo</t>
  </si>
  <si>
    <t>ELVATRON S.A.</t>
  </si>
  <si>
    <t>2242 9900 ext 307</t>
  </si>
  <si>
    <t>San José, 400 Norte de CAPRIS, La Uruca</t>
  </si>
  <si>
    <t>MYV Soluciones Geotécnicas S.A.</t>
  </si>
  <si>
    <t>LE-134</t>
  </si>
  <si>
    <t>Emilio Santos García</t>
  </si>
  <si>
    <t>esantos@myv-sg.com; gestoriadecalidad@myv-sg.com</t>
  </si>
  <si>
    <t>mcoto@myv-sg.com; emilio.santos1956@gmail.com</t>
  </si>
  <si>
    <t>2283 4415, 2283 4418</t>
  </si>
  <si>
    <t>2272-2762 </t>
  </si>
  <si>
    <t>San José, 200 m Sur y 100 m Oeste de la Mitsubishi Motors (50 m Oeste de la Embajada de Francia), Curridabat .</t>
  </si>
  <si>
    <t>3-101-258774</t>
  </si>
  <si>
    <t>Mauricio Coto Loría</t>
  </si>
  <si>
    <t>3-0325-0133</t>
  </si>
  <si>
    <t>Ingeniero Civil, Master en Ingeniería Geotécnica</t>
  </si>
  <si>
    <t xml:space="preserve">San José, Curridabat, Sanchez, La Itaba, Casa 16OB, De la aguja principal 200 metros al oeste, calle sin salida, frente a rotonda, casa color gris con blanco </t>
  </si>
  <si>
    <t>mcoto@myv-sg.com</t>
  </si>
  <si>
    <t>2283-4418</t>
  </si>
  <si>
    <t>San José, 200 Sur y 100 Oeste de la Mitsubishi Motors (50 Oeste de la Embajada de Francia), Curridabat .</t>
  </si>
  <si>
    <t>8:00 a.m. 17:00 p.m.</t>
  </si>
  <si>
    <t>Laboratorio Geosoluciones Civiles VyA de Centroamérica</t>
  </si>
  <si>
    <t>LE-135</t>
  </si>
  <si>
    <t>Retirado
LE-123</t>
  </si>
  <si>
    <t>Alexander Molina Villalobos</t>
  </si>
  <si>
    <t>Cartago, Residencial Montserrat, del colegio Franco Costarricense en Concepción de Tres Ríos, 300 m Sur, 100 m Este y 75 m Sur, Urb, Monserrat casa 9-0, Concepción, La Unión.</t>
  </si>
  <si>
    <t>3-101-390729</t>
  </si>
  <si>
    <t>Ana Vanessa Rodriguez Romero</t>
  </si>
  <si>
    <t> 1-0965-0389</t>
  </si>
  <si>
    <t xml:space="preserve">Arquitecta </t>
  </si>
  <si>
    <t>Cartago, Urbanización Montserrat, casa 9-0, Concepción La Unión.</t>
  </si>
  <si>
    <t>Michelle Molina Rodríguez</t>
  </si>
  <si>
    <t>Geosoluciones Civiles VyA de Centroamérica</t>
  </si>
  <si>
    <t>Cartago, Residencial Montserrat, del colegio Franco Costarricense en Concepción de Tres Ríos, 300 S, 100 E y 75 S, Urb, Monserrat casa 9-0, Concepción, La Unión.</t>
  </si>
  <si>
    <t xml:space="preserve"> 09.07.2018 Retiro de la acreditación de manera voluntaria</t>
  </si>
  <si>
    <t>Laboratorio de Polimeros Instituto Nacional de Aprendizaje INA</t>
  </si>
  <si>
    <t>Instituto Nacional de Aprendizaje</t>
  </si>
  <si>
    <t>LE-136</t>
  </si>
  <si>
    <t>LE-120</t>
  </si>
  <si>
    <t>A05: 15/07/2024</t>
  </si>
  <si>
    <t xml:space="preserve">Alexander Cespedes </t>
  </si>
  <si>
    <t>acespedessolis@ina.ac.cr</t>
  </si>
  <si>
    <t>gcruzvargas@ina.ac.cr, asandigonzalez@ina.ac.cr, rzamorasequeira@ina.ac.cr, kreidmorgan@ina.ac.cr</t>
  </si>
  <si>
    <t>22106395/ 22106398</t>
  </si>
  <si>
    <t>INA Frente a emergencias del Hospital del Trauma, o en el Laboratorio de Polímeros en CEGRIPLAST,  INA La Uruca, Frente al Parque de Diversiones</t>
  </si>
  <si>
    <t>4-000-045127</t>
  </si>
  <si>
    <t>En proceso de contratación  (Andres Valenciano Yamuni)</t>
  </si>
  <si>
    <t>1-1169-0713</t>
  </si>
  <si>
    <t>divorciado</t>
  </si>
  <si>
    <t xml:space="preserve">Lic. Ingeniería Industrial </t>
  </si>
  <si>
    <t>INA La Uruca, Frente al parque de Diversiones</t>
  </si>
  <si>
    <t>2210-6207</t>
  </si>
  <si>
    <t>San José, INA, frente Parque Nacional de Diversiones, La Uruca.</t>
  </si>
  <si>
    <t>7:30 am a 3:30 pm</t>
  </si>
  <si>
    <t>INA</t>
  </si>
  <si>
    <t>Laboratorio de Ensayo de Materiales del Instituto Nacional de Aprendizaje INA</t>
  </si>
  <si>
    <t>LE-137</t>
  </si>
  <si>
    <t>Ana Elena Brenes Arias</t>
  </si>
  <si>
    <t>abrenesarias@ina.ac.cr</t>
  </si>
  <si>
    <t>abrenesarias@ina.ac.cr, jsilesclavo@ina.ac.cr; acespedessolis@ina.ac.cr</t>
  </si>
  <si>
    <t>INA Frente a emergencias del Hospital del Trauma, o en el Laboratorio de Materiales en la Cuidad Tecnológica del INA. Coyol de Alajuela, Barrio la Plywood, 2 kms al oeste de los Corrales de Coopemontecillos.</t>
  </si>
  <si>
    <t>Andres Valenciano Yamuni</t>
  </si>
  <si>
    <t> Instituto Nacional de Aprendizaje</t>
  </si>
  <si>
    <t> 2232-4422   </t>
  </si>
  <si>
    <t>San José, Frente al Parque Nacional de Diversiones, La Uruca.</t>
  </si>
  <si>
    <t>Laboratorio de Calibración LACALI</t>
  </si>
  <si>
    <t>LC-138</t>
  </si>
  <si>
    <t>Retirado
LC-125</t>
  </si>
  <si>
    <t>2501-1045</t>
  </si>
  <si>
    <t>2220-5177</t>
  </si>
  <si>
    <t>San José, Plantel del ICE, Colima de Tibás.</t>
  </si>
  <si>
    <t>4-0000-42139</t>
  </si>
  <si>
    <t>Melvin Eduardo Monge Sandi</t>
  </si>
  <si>
    <t>1-0685-0995</t>
  </si>
  <si>
    <t> Costarricense</t>
  </si>
  <si>
    <t> Ingeniero mecánico</t>
  </si>
  <si>
    <t xml:space="preserve">San José, Edificio del ICE, piso 8, oficina del Director, Sabana. </t>
  </si>
  <si>
    <t>Apoderado General con límite de suma hasta quinientos mil dólares</t>
  </si>
  <si>
    <t>Alejandro Calderon Segura</t>
  </si>
  <si>
    <t>ICE Colima, CSTRC, LACVE</t>
  </si>
  <si>
    <t>Lunes a Jueves de 7am a 5pm. Viernes hasta 3pm</t>
  </si>
  <si>
    <t>Laboratorio de Normas y Calidad de Medicamentos CCSS</t>
  </si>
  <si>
    <t>Caja Costarricense de Seguro Social</t>
  </si>
  <si>
    <t>LE-139</t>
  </si>
  <si>
    <t>Dr. Omar Moya Vazquez</t>
  </si>
  <si>
    <t>coinccss@ccss.sa.cr 
omoyav@ccss.sa.cr</t>
  </si>
  <si>
    <t> 2441-0730</t>
  </si>
  <si>
    <t>2441-0732</t>
  </si>
  <si>
    <t>Alajuela, frente al INS, Antiguo Hospital San Rafael de Alajuela.</t>
  </si>
  <si>
    <t>Esteban Vega de la O.</t>
  </si>
  <si>
    <t>Casado.</t>
  </si>
  <si>
    <t>Farmacéutico</t>
  </si>
  <si>
    <t>San José, San José, Catedral, avenida segunda, entre calle 5 y 7 diagonal a la esquina sureste del teatro nacional, edificio rótulo CCSS.</t>
  </si>
  <si>
    <t>coinccss@ccss.sa.cr</t>
  </si>
  <si>
    <t>Gerente Logística</t>
  </si>
  <si>
    <t>Tesorería General de la Dirección Financiero Contable</t>
  </si>
  <si>
    <t>Edificio Central CCSS, Avenida 2 Calle 5 , San José centro.</t>
  </si>
  <si>
    <t>consulta_facturas@ccss.sa.cr</t>
  </si>
  <si>
    <t>7:00 a.m a 3:00 p.m.</t>
  </si>
  <si>
    <t>CCSS</t>
  </si>
  <si>
    <t>Laboratorio de Calibración del Laboratorio de Eficiencia Energética - ICE</t>
  </si>
  <si>
    <t>LC-140</t>
  </si>
  <si>
    <t>LC-124</t>
  </si>
  <si>
    <t>A01: 31 de mayo del 2017
A02: 28 de octubre del 2018
A03: 7 de septiembre del 2022</t>
  </si>
  <si>
    <t>mporrasb@ice.go.cr icelee@ice.go.cr</t>
  </si>
  <si>
    <t>2000-4129</t>
  </si>
  <si>
    <t>2003-0170</t>
  </si>
  <si>
    <t>San José, DEMASA 200 m oeste, Rincón Grande de Pavas.</t>
  </si>
  <si>
    <t>Anyelo Gerald Vargas Hernández</t>
  </si>
  <si>
    <t>Jefe de División Distribución y Comercialización</t>
  </si>
  <si>
    <t>San José, Sabana Norte.</t>
  </si>
  <si>
    <t>Laboratorio de Materiales Carlos Araya S.A.</t>
  </si>
  <si>
    <t>LE-141</t>
  </si>
  <si>
    <t>calidad@lamcacr.com</t>
  </si>
  <si>
    <t>brenargentina@hotmail.com</t>
  </si>
  <si>
    <t>2285-0302</t>
  </si>
  <si>
    <t>2285-9192</t>
  </si>
  <si>
    <t xml:space="preserve">San José, Montes de Oca, Carmiol, de Servicentro La Cosecha, 100 m sur, 25 m este, 24 norte, Edificio segunda planta Apartamento No. 2. </t>
  </si>
  <si>
    <t>3-101-3715-3</t>
  </si>
  <si>
    <t>Carlos Norberto Araya Umaña</t>
  </si>
  <si>
    <t>Ingeniero civil</t>
  </si>
  <si>
    <t>Gina Monge</t>
  </si>
  <si>
    <t>gmonge@lamcacr.com</t>
  </si>
  <si>
    <t>7:30 A.M. A 5:00 P.M</t>
  </si>
  <si>
    <t>Laboratorio de análisis químicos y ambientales GAIA S.A.</t>
  </si>
  <si>
    <t>N-P</t>
  </si>
  <si>
    <t>LE-142</t>
  </si>
  <si>
    <t>Alejandro Salas Jimenez</t>
  </si>
  <si>
    <t> asalas@gaiacr.com</t>
  </si>
  <si>
    <t>jose@gaiacr.com</t>
  </si>
  <si>
    <t>24315157 ext 5108</t>
  </si>
  <si>
    <t>Alajuela, 150 m este y 100 m norte del Casino Fiesta, Condominio Terrum, bodega No. 14, Río Segundo.</t>
  </si>
  <si>
    <t>Sergio Zamora Sauma</t>
  </si>
  <si>
    <t xml:space="preserve">Ingenierio Químico </t>
  </si>
  <si>
    <t>250 metros oeste del Banco Nacional, San Rafael de Alajuela, Costa Rica</t>
  </si>
  <si>
    <t>Melissa Rojas</t>
  </si>
  <si>
    <t>Laboratorio de análisis químicos y ambientales GAIA S.A</t>
  </si>
  <si>
    <t>24315157 ext 5101</t>
  </si>
  <si>
    <t>Alajuela, 150 este y 100 norte del Casino Fiesta, Condominio Terrum, bodega No. 14, Río Segundo.</t>
  </si>
  <si>
    <t>adm@gaiacr.com</t>
  </si>
  <si>
    <t>7:30 A.M. a 5:30 P.M.</t>
  </si>
  <si>
    <t>26.01.2016 No otorgar acreditación</t>
  </si>
  <si>
    <t>Multiromanas Polini S.A.</t>
  </si>
  <si>
    <t>LC-143</t>
  </si>
  <si>
    <t>LC-128</t>
  </si>
  <si>
    <t>Byron Vega González</t>
  </si>
  <si>
    <t>calidad@romanaspolini.com</t>
  </si>
  <si>
    <t xml:space="preserve">metrologia@romanaspolini.com </t>
  </si>
  <si>
    <t>2224-4779</t>
  </si>
  <si>
    <t>2280-4806</t>
  </si>
  <si>
    <t xml:space="preserve">San José, 100 m Sur de la Rotonda de las Garantías Sociales, Zapote </t>
  </si>
  <si>
    <t>3-101-281860</t>
  </si>
  <si>
    <t>www.romanaspolini.com</t>
  </si>
  <si>
    <t>Gustavo Polini Castro</t>
  </si>
  <si>
    <t>1-0941-0798</t>
  </si>
  <si>
    <t>Comerciante</t>
  </si>
  <si>
    <t>San José, 100 Sur de la Rotonda de la Garantías Sociales, Zapote</t>
  </si>
  <si>
    <t>Adriana Díaz Blanco</t>
  </si>
  <si>
    <t>Zapote, 100 Sur de la Rotonda de la Garantías Sociales, San José</t>
  </si>
  <si>
    <t>7 a.m. a 5 p.m.</t>
  </si>
  <si>
    <t>AGQ Labs &amp; Tech Costa Rica S.A.</t>
  </si>
  <si>
    <t xml:space="preserve">Privado </t>
  </si>
  <si>
    <t>LE-144</t>
  </si>
  <si>
    <t>Retirado
LE-129</t>
  </si>
  <si>
    <t> Lic. Jeisson Cárdenas Miranda</t>
  </si>
  <si>
    <t>&lt;</t>
  </si>
  <si>
    <t>2232-0832</t>
  </si>
  <si>
    <t>San José, local B2 frente a Casa España, Sabana Norte, Mata Redonda</t>
  </si>
  <si>
    <t>3-101-656723</t>
  </si>
  <si>
    <t>www.agqlabs.cr</t>
  </si>
  <si>
    <t>Andres Villalobos Herrera</t>
  </si>
  <si>
    <t>San José,  Frente a Casa España, Local B1, Sabana Norte.</t>
  </si>
  <si>
    <t>Presidente con Facultades de Apoderado Generalísimo sin Límite de Suma</t>
  </si>
  <si>
    <t>Romario Masis</t>
  </si>
  <si>
    <t>AGQ Labs and Tech Costa Rica S.A.</t>
  </si>
  <si>
    <t>2232-1727</t>
  </si>
  <si>
    <t>romario.masis@agqlabs.com</t>
  </si>
  <si>
    <t>L a V, 8:00 a.m. a 5 p.m</t>
  </si>
  <si>
    <t>2020.05.20: Retiro de la acreditación</t>
  </si>
  <si>
    <t>INCIENSA</t>
  </si>
  <si>
    <t>Instituto Costarricense de Investigación y Enseñanza en Nutrición y Salud.</t>
  </si>
  <si>
    <t>LE-145</t>
  </si>
  <si>
    <t xml:space="preserve">A01: 23 de abril del 2018.
A02: 29 de agosto del 2018
A03: 17 de septiembre 2018
A04: 05 de enero 2021
A05: 02 de mayo 2023
A06: 5/11/2024
</t>
  </si>
  <si>
    <t>Dra. Lissette Navas Alvarado
Galia Moreno Cento
Wei Wei Lu Chen,
Selene Serrano Delgado</t>
  </si>
  <si>
    <t>lnavas@inciensa.sa.cr</t>
  </si>
  <si>
    <t>sec_dirgen@inciensa.sa.cr; gmoreno@inciensa.sa.cr;wwlu@inciensa.sa.cr; sserrano@inciensa.sa.cr</t>
  </si>
  <si>
    <t>2279-9911 ext 130, 134</t>
  </si>
  <si>
    <t>Cartago, de la bomba Tinoco 100 oeste, Tres Ríos, La Unión</t>
  </si>
  <si>
    <t xml:space="preserve">Cartago </t>
  </si>
  <si>
    <t>3-007-045313</t>
  </si>
  <si>
    <t>www.inciensa.sa.cr</t>
  </si>
  <si>
    <t>Lissette Navas Alvarado</t>
  </si>
  <si>
    <t xml:space="preserve">Medico </t>
  </si>
  <si>
    <t>Directora General</t>
  </si>
  <si>
    <t xml:space="preserve">Grettel Pereira </t>
  </si>
  <si>
    <t>Inciensa</t>
  </si>
  <si>
    <t>2279-9911</t>
  </si>
  <si>
    <t>gpereira@inciensa.sa.cr</t>
  </si>
  <si>
    <t>08:00-16:00</t>
  </si>
  <si>
    <t>A5, otorgada por la Comisión de Acreditación mediante acuerdo CA-013-2023-08, mismo que fue notificado al OEC el 02 de mayo de 2023</t>
  </si>
  <si>
    <t>D´GEO</t>
  </si>
  <si>
    <t>LE-146</t>
  </si>
  <si>
    <t>Daniel Núñez Zúñiga</t>
  </si>
  <si>
    <t>castillo@dgeosoluciones.com;mcastillo@dgeosoluciones.com</t>
  </si>
  <si>
    <t>2283-6697</t>
  </si>
  <si>
    <t>2283-6692</t>
  </si>
  <si>
    <t>San José, 300 m este del bar Ciros, Vargas Araya, San Pedro</t>
  </si>
  <si>
    <t>3-101-635638</t>
  </si>
  <si>
    <t>Luis Diego Gamboa Mendez</t>
  </si>
  <si>
    <t>1-0855-0246</t>
  </si>
  <si>
    <t>Geotecnica, ingeniería y perforación geoinper de Costa Rica S.A.</t>
  </si>
  <si>
    <t>ALS Dominican Republic  S.A.S.</t>
  </si>
  <si>
    <t>ALS Dominican Republic S.A.S</t>
  </si>
  <si>
    <t>LE-147</t>
  </si>
  <si>
    <t>Jonathan Collantes Quispe</t>
  </si>
  <si>
    <t>Jonathan.Collantes@alsglobal.com</t>
  </si>
  <si>
    <t>richard.negron@alsglobal.com</t>
  </si>
  <si>
    <t>01-(809)-4067-2384     1-(809)-267-7259</t>
  </si>
  <si>
    <t>Santo Domingo, Zona Industrial Herrera Av. Isabel Aguiar esquina Calle I, República Dominicana</t>
  </si>
  <si>
    <t>Richard Negron</t>
  </si>
  <si>
    <t>Peruano</t>
  </si>
  <si>
    <t>Ing. Pesquero</t>
  </si>
  <si>
    <t>Gerente de Desarrollo de Negocios</t>
  </si>
  <si>
    <t>Roberto Gutierrez Paredes</t>
  </si>
  <si>
    <t>01-809-4067-2384</t>
  </si>
  <si>
    <t>roberto.gutierrez@alsglobal.com</t>
  </si>
  <si>
    <t>8:00 am - 5:00 pm de Lunes a Viernes</t>
  </si>
  <si>
    <t>ALS Dominican Republic S.A.S.</t>
  </si>
  <si>
    <t>LE-148</t>
  </si>
  <si>
    <t>Alejandra Salas Jiménez</t>
  </si>
  <si>
    <t xml:space="preserve">ale@labgaia.com </t>
  </si>
  <si>
    <t>2431-5157 ext 5108</t>
  </si>
  <si>
    <t>2243-1557</t>
  </si>
  <si>
    <t xml:space="preserve">Costa Rica </t>
  </si>
  <si>
    <t>250 metros oeste del Banco Nacional, San Rafael de Alajuela, Costa Rica.</t>
  </si>
  <si>
    <t>www.gaiacr.com</t>
  </si>
  <si>
    <t>Alejandro Salas Jiménez</t>
  </si>
  <si>
    <t xml:space="preserve">soltero </t>
  </si>
  <si>
    <t xml:space="preserve">Ingeniero industrial </t>
  </si>
  <si>
    <t>2431-5157 ext 5101</t>
  </si>
  <si>
    <t>2431-5157</t>
  </si>
  <si>
    <t>melissa@gaia.cr.com</t>
  </si>
  <si>
    <t>7:30 a 5:30</t>
  </si>
  <si>
    <t>Laboratorio de Materiales, Bel Ingeniería S.A.</t>
  </si>
  <si>
    <t>LE-149</t>
  </si>
  <si>
    <t>LE-133</t>
  </si>
  <si>
    <t>A01: 02/05/2023 A02: 15/07/2024</t>
  </si>
  <si>
    <t>Esteban José Hidalgo González
Leidy García Cordero
Ingrid Roman López</t>
  </si>
  <si>
    <t>ehidalgo@belingenieria.com</t>
  </si>
  <si>
    <t>lgarcia@belingenieria.com; iroman@belingenieria.com</t>
  </si>
  <si>
    <t>4000-1390 ext. 551</t>
  </si>
  <si>
    <t>Alajuela, 6,5 kilometros del Aeropuerto Juan Santamaría, El Coyol</t>
  </si>
  <si>
    <t>3-101-014468</t>
  </si>
  <si>
    <t>ESTEBAN JOSE HIDALGO GONZALEZ</t>
  </si>
  <si>
    <t>2-0772-0225</t>
  </si>
  <si>
    <t> Soltero </t>
  </si>
  <si>
    <t>Constructora Hernán Solís</t>
  </si>
  <si>
    <t>4000-1390</t>
  </si>
  <si>
    <t>Se envia usuario y contraseña a lgarcia@belingenieria.com esto debido a que el OEC indica que no tienen acceso al correo del representante ante el ECA.</t>
  </si>
  <si>
    <t>Laboratorio de Ensayos de Materiales Plataforma de Almenar S.A.</t>
  </si>
  <si>
    <t xml:space="preserve">LE-150 </t>
  </si>
  <si>
    <t>Retirado
LE-137</t>
  </si>
  <si>
    <t>Juan José Mesen Espinoza</t>
  </si>
  <si>
    <t>plataformadealmenar@gmail.com</t>
  </si>
  <si>
    <t>jjmesene@hotmail.com</t>
  </si>
  <si>
    <t>8346-0433/8503-2484</t>
  </si>
  <si>
    <r>
      <rPr>
        <rFont val="Arial"/>
        <color theme="1"/>
        <sz val="12.0"/>
      </rPr>
      <t>4030-2000</t>
    </r>
    <r>
      <rPr>
        <rFont val="Arial"/>
        <color rgb="FF000000"/>
        <sz val="12.0"/>
      </rPr>
      <t>.</t>
    </r>
  </si>
  <si>
    <t>Cartago, Quebradilla, 300 m oeste de la entrada a Bermejo</t>
  </si>
  <si>
    <t>3-101-540228</t>
  </si>
  <si>
    <t xml:space="preserve">casado </t>
  </si>
  <si>
    <t>Puntarenas, de Ferretería Jotan 125 m oeste, Buenos Aires</t>
  </si>
  <si>
    <t>Gerente general</t>
  </si>
  <si>
    <t>Plataforma de Almenar</t>
  </si>
  <si>
    <t>2730-1675</t>
  </si>
  <si>
    <t>De L a V de 8:00 a.m. a 12:00 m.d. y de 1:00 a 5:00 p.m.</t>
  </si>
  <si>
    <t>Retiro de la acreditación: CA-031-2022-04 del 7/10/22</t>
  </si>
  <si>
    <t>Laboratorio Romanas Ocony</t>
  </si>
  <si>
    <t xml:space="preserve">Romanas Ocony Sociedad Anónima </t>
  </si>
  <si>
    <t>LC-151</t>
  </si>
  <si>
    <t>LC-136</t>
  </si>
  <si>
    <t>Marco Vega Quirós</t>
  </si>
  <si>
    <t xml:space="preserve">calidad1@romanasocony.com  </t>
  </si>
  <si>
    <t>nelsono@romanasocony.com; calidad@romanasocony.com; calidad2@romanasocony.com</t>
  </si>
  <si>
    <t>2253-3535</t>
  </si>
  <si>
    <t>2225-9718</t>
  </si>
  <si>
    <t>San José, detrás de Casa Presidencial, Zapote</t>
  </si>
  <si>
    <t xml:space="preserve">San Jose </t>
  </si>
  <si>
    <t>3-101-029749</t>
  </si>
  <si>
    <t>http://www.romanasocony.com/</t>
  </si>
  <si>
    <t>Douglas Oconitrillo Muñoz</t>
  </si>
  <si>
    <t>1-0763-0563</t>
  </si>
  <si>
    <t>casado dos veces</t>
  </si>
  <si>
    <t>Administrador de empresas</t>
  </si>
  <si>
    <t>Apoderado Generalísimo sin Límite de Suma</t>
  </si>
  <si>
    <t>Romanas Ocony. S.A.</t>
  </si>
  <si>
    <t>proveeduria@romanasocony.com </t>
  </si>
  <si>
    <t>Sertek Equipos y Pesajes S.A.</t>
  </si>
  <si>
    <t xml:space="preserve">Sertek equipos y pesajes Sociedad Anónima </t>
  </si>
  <si>
    <t>LC-152</t>
  </si>
  <si>
    <t>LC-134</t>
  </si>
  <si>
    <t>Jo Ellen Medrano Flores</t>
  </si>
  <si>
    <t>info@sertekpesaje.net</t>
  </si>
  <si>
    <t>jmedrano@sertekpesaje.net</t>
  </si>
  <si>
    <t>2250-3367/8328-8878</t>
  </si>
  <si>
    <t> San José, Barrio San José de la Bomba la Pacifica 400 metros al este edificio a mano izquierda, Curridabat</t>
  </si>
  <si>
    <t>3-101-475478</t>
  </si>
  <si>
    <t>www.sertekpesaje.net</t>
  </si>
  <si>
    <t xml:space="preserve">Juan Kenedy conocido como Mauricio Brenes Serrano </t>
  </si>
  <si>
    <t>1-0888-723</t>
  </si>
  <si>
    <t>Técnico en electrónica</t>
  </si>
  <si>
    <t> San José, Barrio San José de la Bomba la Pacífica 400 metros al este edificio a mano izquierda, Curridabat</t>
  </si>
  <si>
    <t>Apoderado generealísimo</t>
  </si>
  <si>
    <t>Sertek equipos y pesajes S.A.</t>
  </si>
  <si>
    <t>2250-3367</t>
  </si>
  <si>
    <t>Laboratorio de Suministros y Servicios Integrales SSI, S.A.</t>
  </si>
  <si>
    <t xml:space="preserve">Pirvado </t>
  </si>
  <si>
    <t>LE-153</t>
  </si>
  <si>
    <t>LE-138</t>
  </si>
  <si>
    <t xml:space="preserve">José Joaquín Ugarte Fernández / Jessica Aguilar Peñaranda  </t>
  </si>
  <si>
    <t>j.ugarte@ssicostarica.com</t>
  </si>
  <si>
    <t>j.aguilar@ssicostarica.com; dmoraj23@gmail.com</t>
  </si>
  <si>
    <t>4707-5580</t>
  </si>
  <si>
    <t>2278-3604</t>
  </si>
  <si>
    <t>San José, Curridabat, Cipreses, 300 m Norte de la Sucursal del BAC, diagonal al Taller Car Doc, en el antiguo complejo de Bodegas Yokohama</t>
  </si>
  <si>
    <t>3-101-329918</t>
  </si>
  <si>
    <t>José Joaquín Ugarte Fernández</t>
  </si>
  <si>
    <t>1-0801-0322</t>
  </si>
  <si>
    <t xml:space="preserve">Representante legal </t>
  </si>
  <si>
    <t>Ana Cano</t>
  </si>
  <si>
    <t>Suministros y Servicios Integrales SSI, S.A.</t>
  </si>
  <si>
    <t>a.cano@ssicostarica.com</t>
  </si>
  <si>
    <t>Laboratorio Fortech</t>
  </si>
  <si>
    <t>LE-154</t>
  </si>
  <si>
    <t>LE-151</t>
  </si>
  <si>
    <t xml:space="preserve">Guillermo Pereira Ruiz </t>
  </si>
  <si>
    <t>gpereira@fortech.cr</t>
  </si>
  <si>
    <t> hprado@fortech.cr</t>
  </si>
  <si>
    <t>2573-8634/7112-2155</t>
  </si>
  <si>
    <t>Cartago, Parque Industrial Zeta, edificio 29, Cantón Central</t>
  </si>
  <si>
    <t>3-101-193685</t>
  </si>
  <si>
    <t>Guillermo Pereira Ruiz</t>
  </si>
  <si>
    <t>1-757-756</t>
  </si>
  <si>
    <t xml:space="preserve">Presidente y Gerente General </t>
  </si>
  <si>
    <t>Fortech S.A.</t>
  </si>
  <si>
    <t>2572-0078</t>
  </si>
  <si>
    <t>Ingeniería Gamboa S.A. (IGSA)</t>
  </si>
  <si>
    <t>LE-155</t>
  </si>
  <si>
    <t>Gabriela Barrantes Segura</t>
  </si>
  <si>
    <t>gbarrantes@ingenieriagamboa.com</t>
  </si>
  <si>
    <t xml:space="preserve"> 
8816-9702</t>
  </si>
  <si>
    <t xml:space="preserve"> 
San José. 100 m Sur y 25 m Oeste del banco Popular de San Vicente, Moravia</t>
  </si>
  <si>
    <t>3-101-609704</t>
  </si>
  <si>
    <t> José Andrés Gamboa González</t>
  </si>
  <si>
    <t>1-1259-0868</t>
  </si>
  <si>
    <t xml:space="preserve">Unión libre </t>
  </si>
  <si>
    <t>agamboa@ingenieriagamboa.com</t>
  </si>
  <si>
    <t>Ingeniería Gamboa S.A.</t>
  </si>
  <si>
    <t>9-1-23: Se excluya a la señora Maricel Calderón (mcalderon@ingenieriagamboa.com) de la lista de contactos de ECA ya que la compañera no forma más parte del equipo de trabajo.</t>
  </si>
  <si>
    <t>Laboratorio de Control de Calidad del Concreto</t>
  </si>
  <si>
    <t>Constructora MECO S. A</t>
  </si>
  <si>
    <t>LE-156</t>
  </si>
  <si>
    <t> Emmanuel Sanchez Chacón</t>
  </si>
  <si>
    <t>emmanuel.sanchez@constructorameco.com</t>
  </si>
  <si>
    <t>2519-7153/2519-7070</t>
  </si>
  <si>
    <t>Alajuela, 70 m Oeste de la Iglesia de San Rafael, San Rafael</t>
  </si>
  <si>
    <t>3-101-035078</t>
  </si>
  <si>
    <t>Alejandro Bolaños Salazar</t>
  </si>
  <si>
    <t>2-406-651</t>
  </si>
  <si>
    <t xml:space="preserve">Ingeniero civil </t>
  </si>
  <si>
    <t xml:space="preserve">Sub Gerente General </t>
  </si>
  <si>
    <t>Constructora MECO S.A.</t>
  </si>
  <si>
    <t>2519-7070</t>
  </si>
  <si>
    <t>Laboratorio de Ensayo Asociación de Normalización y Certificación, ANCE</t>
  </si>
  <si>
    <t>Asociación de Normalización y Certificación S.A. de C.V ANCE</t>
  </si>
  <si>
    <t>LE-157</t>
  </si>
  <si>
    <t>LE-140</t>
  </si>
  <si>
    <t>Eduardo Martínez Venegas</t>
  </si>
  <si>
    <t>eduardo.martinez@ance.org.mx</t>
  </si>
  <si>
    <t>fflores@ance.org.mx; rmonroy@ance.org.mx; joana.resendiz@ance.org.mx; judith.gonzalez@ance.org.mx</t>
  </si>
  <si>
    <t>(+ 52) 55 5747 4550</t>
  </si>
  <si>
    <t>(+52) 55 5747 4560</t>
  </si>
  <si>
    <t>México</t>
  </si>
  <si>
    <t>Eje Lázaro Cárdenas, No. 869, Colonia Nueva Industrial Vallejo, Delegación Gustavo A. Madero, Ciudad de México</t>
  </si>
  <si>
    <t>Ciudad de México</t>
  </si>
  <si>
    <t>ANC921211IT8</t>
  </si>
  <si>
    <t>www.ance.org.mx</t>
  </si>
  <si>
    <t>Raúl Pérez Monroy</t>
  </si>
  <si>
    <t>Mexixana</t>
  </si>
  <si>
    <t>Ingeniero en Control y Automatización</t>
  </si>
  <si>
    <t>Líder Tecnológico</t>
  </si>
  <si>
    <t>Asociación de Normalización y Certificación, A.C.</t>
  </si>
  <si>
    <t>Chaso del Valle S.A.</t>
  </si>
  <si>
    <t xml:space="preserve">Chaso del Valle Sociedad Anónima </t>
  </si>
  <si>
    <t>LE-158</t>
  </si>
  <si>
    <t xml:space="preserve">Adriana Fonseca </t>
  </si>
  <si>
    <t xml:space="preserve">servicioalcliente@chaso.com </t>
  </si>
  <si>
    <t>afonseca@chaso.com</t>
  </si>
  <si>
    <t>4001-5915</t>
  </si>
  <si>
    <t>4001-6460</t>
  </si>
  <si>
    <t>San José, 125 m norte del Hotel San José Palacio, contiguo a Meco.</t>
  </si>
  <si>
    <t xml:space="preserve">San José </t>
  </si>
  <si>
    <t>3-101-151258</t>
  </si>
  <si>
    <t>www.chaso.com</t>
  </si>
  <si>
    <t xml:space="preserve">Iván Guerra Raven </t>
  </si>
  <si>
    <t>San José, 200 norte, 150 oeste de Torre Mercedes, contiguo a Funeraria Magisterio,  Barrio Pitahaya</t>
  </si>
  <si>
    <t>Olman Hernández</t>
  </si>
  <si>
    <t>Chaso del Valle, S.A.</t>
  </si>
  <si>
    <t>ohernandez@chaso.com</t>
  </si>
  <si>
    <t xml:space="preserve"> Lunes a viernes de 7:30 a 5:00 </t>
  </si>
  <si>
    <t>Laboratorio de calibración del negocio de agua potable e hidrantes (ESPH)</t>
  </si>
  <si>
    <t>Empresa de Servicios Públicos de Heredia Sociedad Anónima</t>
  </si>
  <si>
    <t xml:space="preserve">Público </t>
  </si>
  <si>
    <t>LC-159</t>
  </si>
  <si>
    <t>LC-141</t>
  </si>
  <si>
    <t>Hellen Rodríguez Céspedes</t>
  </si>
  <si>
    <t>hrodriguez@esph-sa.com</t>
  </si>
  <si>
    <t>2562-3997 / 2562-3924</t>
  </si>
  <si>
    <t>2562-3716</t>
  </si>
  <si>
    <t>Heredia, San Rafael, Los Ángeles, Getsemaní</t>
  </si>
  <si>
    <t>3-101-042028</t>
  </si>
  <si>
    <t>www.esph-sa.com</t>
  </si>
  <si>
    <t>Jorge Miranda Alvarado</t>
  </si>
  <si>
    <t>Empresa de Servicios Públicos de Heredia S.A.</t>
  </si>
  <si>
    <t>2562-3774</t>
  </si>
  <si>
    <t>Heredia. Calle 1, Avenida 10.</t>
  </si>
  <si>
    <t>2237-6566</t>
  </si>
  <si>
    <t>jmirandaa@esph-sa.com</t>
  </si>
  <si>
    <t>Empresa Servicios Públicos de Heredia</t>
  </si>
  <si>
    <t>Cercal Ltda.</t>
  </si>
  <si>
    <t xml:space="preserve">
 </t>
  </si>
  <si>
    <t>LE-160</t>
  </si>
  <si>
    <t>Johnny Cerdas Calderón
Keily Rojas Umaña</t>
  </si>
  <si>
    <t xml:space="preserve">johnny@cercal.co.cr
</t>
  </si>
  <si>
    <t xml:space="preserve">k.rojas@cercal.co.cr
</t>
  </si>
  <si>
    <t>4001-5921 </t>
  </si>
  <si>
    <t>2556-1359</t>
  </si>
  <si>
    <t>Cartago, 300m Norte de Correos de Costa Rica, Barrio Calle Vieja, Turrialba Centro</t>
  </si>
  <si>
    <t xml:space="preserve">3-102-122153      </t>
  </si>
  <si>
    <t>www.cercal.co.cr</t>
  </si>
  <si>
    <t>Johnny Antonio Cerdas Calderón</t>
  </si>
  <si>
    <t> Ingeniero Civil, Ingeniero Topógrafo, Máster en Ingeniería Civil con énfasis den Geotecnia</t>
  </si>
  <si>
    <t>Sub Gerente</t>
  </si>
  <si>
    <t>Keily Rojas Umaña</t>
  </si>
  <si>
    <t>    Cercal Ltda</t>
  </si>
  <si>
    <t>4001-5921  </t>
  </si>
  <si>
    <t>2556-1359  </t>
  </si>
  <si>
    <t>facturacion@cercal.co.cr</t>
  </si>
  <si>
    <t> lunes a viernes de 7:00am a 12:00 md y de 1:00pm a 5:00pm</t>
  </si>
  <si>
    <t>SOLARA, soluciones analíticas y ambientales Araya S.A.</t>
  </si>
  <si>
    <t>SOLARA, soluciones analíticas y ambientales Araya Sociedad Anónima</t>
  </si>
  <si>
    <t>LE-161</t>
  </si>
  <si>
    <t>Steven Araya Orozco</t>
  </si>
  <si>
    <t>solara@solaracr.com </t>
  </si>
  <si>
    <t>Steven.araya@solaracr.com </t>
  </si>
  <si>
    <t>2433-5893/8343-4029</t>
  </si>
  <si>
    <t> 2433-5893</t>
  </si>
  <si>
    <t>San José de Alajuela, 150 m Oeste de la parroquia.</t>
  </si>
  <si>
    <t>3-101-659990</t>
  </si>
  <si>
    <t>WWW.SOLARACR.COM</t>
  </si>
  <si>
    <t>Químico</t>
  </si>
  <si>
    <t>Jefe de Laboratorio</t>
  </si>
  <si>
    <t>Lisseth González Jiménez</t>
  </si>
  <si>
    <t>  2433-5893   </t>
  </si>
  <si>
    <t>2433-5893 </t>
  </si>
  <si>
    <t xml:space="preserve"> solara@solaracr.com </t>
  </si>
  <si>
    <t>Lunes a Viernes 8:00am a 12:00md y de 1:00 pm a 5:00pm</t>
  </si>
  <si>
    <t>IIG Laboratorio</t>
  </si>
  <si>
    <t>LE-162</t>
  </si>
  <si>
    <t>Sofia Zuñiga Ugalde</t>
  </si>
  <si>
    <t>asesorias@yakukua.com</t>
  </si>
  <si>
    <t>info@iigconsultores.com</t>
  </si>
  <si>
    <t>4030-1509</t>
  </si>
  <si>
    <t>2232-2323</t>
  </si>
  <si>
    <t>Pavas, Parque empresarial del Oeste, Local número 5</t>
  </si>
  <si>
    <t>3-101-6676621</t>
  </si>
  <si>
    <t>www.iigconsultores.com</t>
  </si>
  <si>
    <t>Alicia Alpízar Barquero</t>
  </si>
  <si>
    <t>Casada una vez</t>
  </si>
  <si>
    <t>Ingeniera Civil</t>
  </si>
  <si>
    <t> Sharom Valverde</t>
  </si>
  <si>
    <t>IIG Consultores ALJO S.A.</t>
  </si>
  <si>
    <t xml:space="preserve">facturacion@iigconsultores.com ; recepcion@iigconsultores.com </t>
  </si>
  <si>
    <t> lunes a viernes de 7 am a 5 pm</t>
  </si>
  <si>
    <t>Laboratorio de Control de Calidad de Conarroz</t>
  </si>
  <si>
    <t>Privada</t>
  </si>
  <si>
    <t>LE-163</t>
  </si>
  <si>
    <t xml:space="preserve">Roger Umaña Román              </t>
  </si>
  <si>
    <t>rogeru@conarroz.co</t>
  </si>
  <si>
    <t>rogeru0108@gmail.com</t>
  </si>
  <si>
    <t>2255-1313</t>
  </si>
  <si>
    <t>2255-3210</t>
  </si>
  <si>
    <t>San José, Casa 2333, Avenida 8, Calles 21-25, Barrio González Lahaman</t>
  </si>
  <si>
    <t>3-007-075879</t>
  </si>
  <si>
    <t>www.conarroz.com</t>
  </si>
  <si>
    <t>Isabel Quirós Sánchez</t>
  </si>
  <si>
    <t>3-0280-0917</t>
  </si>
  <si>
    <t>Divorciada</t>
  </si>
  <si>
    <t>Contadora Pública</t>
  </si>
  <si>
    <t>Licda. Paola Fallas Murillo</t>
  </si>
  <si>
    <t xml:space="preserve">Corporación Arrocera Nacional </t>
  </si>
  <si>
    <t>gmora@conarroz.com, koconitrillo@conarroz.com</t>
  </si>
  <si>
    <t>Entrega de cheques: Viernes de 9:00 a.m. a 12 m.d. y de 1:00 p.m. a 4:00 p.m.
Transferencias: Viernes en el transcurso del día</t>
  </si>
  <si>
    <t>Romanas Lacost S.A.</t>
  </si>
  <si>
    <t>LC-164</t>
  </si>
  <si>
    <t xml:space="preserve">Ingrid Barquero Chavarría </t>
  </si>
  <si>
    <t>info@romanaslacost.com</t>
  </si>
  <si>
    <t>multiservicioslacost@gmail.com</t>
  </si>
  <si>
    <t>2248-0200/8812-7780</t>
  </si>
  <si>
    <t>San José, de la cancha de Cinco Esquinas 125 m Oeste frente a Envasa, Tibás</t>
  </si>
  <si>
    <t>3-101-673152</t>
  </si>
  <si>
    <t>www.romanaslacost.com</t>
  </si>
  <si>
    <t>Ingrid Barquero Chavarría</t>
  </si>
  <si>
    <t>7-139-0402</t>
  </si>
  <si>
    <t>San José, de la cancha de Cinco Esquinas 125 m Oeste fente a Envasa, Tibás</t>
  </si>
  <si>
    <t>2248-0200</t>
  </si>
  <si>
    <t>ICOMA Consultores S.A.</t>
  </si>
  <si>
    <t>LE-165</t>
  </si>
  <si>
    <t>01 de julio 2019, 
A01: 06 de enero 2021
A02: 11 de enero 2022
A03: 17 de mayo 2023</t>
  </si>
  <si>
    <t>José Loría</t>
  </si>
  <si>
    <t xml:space="preserve">calidad.icoma@gmail.com </t>
  </si>
  <si>
    <t xml:space="preserve"> icomaconsultores@gmail.com
</t>
  </si>
  <si>
    <t>4030-2615</t>
  </si>
  <si>
    <t>Alajuela, 125 metros al Sur de la gasolinera Los Reyes,  Orotina Paralelo a la ruta 27</t>
  </si>
  <si>
    <t>3-101-740753</t>
  </si>
  <si>
    <t>María Fernanda Castillo Castro</t>
  </si>
  <si>
    <t>1-1435-0604</t>
  </si>
  <si>
    <t>Alajuela, 125 metros al Sur de la gasolinera Los Reyes,  Orotina,</t>
  </si>
  <si>
    <t>Presidente Apoderado generalísimo  sin limite</t>
  </si>
  <si>
    <t>Bioanalitica Pacífico Limitada</t>
  </si>
  <si>
    <t>LE-166</t>
  </si>
  <si>
    <t>LE-150</t>
  </si>
  <si>
    <t>Harry Hernández /Juan Carlos Romero Gutiérrez</t>
  </si>
  <si>
    <t>calidad@bioanalitica.net</t>
  </si>
  <si>
    <t>8492-3432</t>
  </si>
  <si>
    <t>Centro Comercial Plaza Santa Cruz, frente a plantel de Policía de Tránsito.</t>
  </si>
  <si>
    <t>3-102-717235</t>
  </si>
  <si>
    <t>www.labcostarica.com</t>
  </si>
  <si>
    <t>Harry Hernández Mena</t>
  </si>
  <si>
    <t>1-1000-0863</t>
  </si>
  <si>
    <t>Licenciado en Química Industrial</t>
  </si>
  <si>
    <t>8492 3232 o 8424 2521</t>
  </si>
  <si>
    <t>info@bioanalitica.net</t>
  </si>
  <si>
    <t>Hasta el cierre exitoso de las NC</t>
  </si>
  <si>
    <t>Instituto Costarricense de Electricidad - Laboratorio Control de Calidad</t>
  </si>
  <si>
    <t>LE-167</t>
  </si>
  <si>
    <t>Francine Víquez Zamora</t>
  </si>
  <si>
    <t xml:space="preserve">fviquezz@ice.go.cr </t>
  </si>
  <si>
    <t>infolab@ice.go.cr</t>
  </si>
  <si>
    <t>2001-2341</t>
  </si>
  <si>
    <t>San José, Plantel ICE, Edificio No. 9,  Colima, Tibás</t>
  </si>
  <si>
    <t>Adolfo Arias Echandi</t>
  </si>
  <si>
    <t>1-0557-0218</t>
  </si>
  <si>
    <t>ICE, San Pedro, Edif. San Pedro, Piso 6.</t>
  </si>
  <si>
    <t xml:space="preserve"> aariase@ice.go.cr</t>
  </si>
  <si>
    <t>Laboratorio Control de Calidad
Los servicios de acreditación del ECA son realizados por contratación administrativa por medio de SICOP, por lo cual esta información depende del administrador de contrato asignado en cada proceso</t>
  </si>
  <si>
    <t>2003-5423</t>
  </si>
  <si>
    <t>Laboratorio de Experimentación Geotécnica</t>
  </si>
  <si>
    <t>LE-168</t>
  </si>
  <si>
    <t>Retirado
LE-154</t>
  </si>
  <si>
    <t>Mauricio Varela Ramírez</t>
  </si>
  <si>
    <t>experimentaciongeotecnica@ice.go.cr</t>
  </si>
  <si>
    <t>Mvarela@ice.go.cr</t>
  </si>
  <si>
    <t>2000-4805</t>
  </si>
  <si>
    <t xml:space="preserve">San José, Edificio de Ingeniería y Construcción, 400 metros norte del edificio principal del ICE, Sabana Norte. </t>
  </si>
  <si>
    <t>4-000-0472139</t>
  </si>
  <si>
    <t>Alexander Solís Barboza</t>
  </si>
  <si>
    <t>1-0677-0013</t>
  </si>
  <si>
    <t>Director General IC</t>
  </si>
  <si>
    <t>2000-6923</t>
  </si>
  <si>
    <t xml:space="preserve">Instituto Costarricense de Acreditación </t>
  </si>
  <si>
    <t>Laboratorio de Refrigeradores TyP - MABE</t>
  </si>
  <si>
    <t>Controladora Mabe S.A. de C.V</t>
  </si>
  <si>
    <t>LE-169</t>
  </si>
  <si>
    <t>LE-152</t>
  </si>
  <si>
    <t>Ulises Hernández</t>
  </si>
  <si>
    <t>ulises.HernandezOrduna@mabe.com.mx</t>
  </si>
  <si>
    <t>nancy.alvarez@mabe.com.mx</t>
  </si>
  <si>
    <t>Mexico</t>
  </si>
  <si>
    <t>Acceso B No. 406, Colonia Parque Industrial Jurica, C.P. 76120, Queretaro, Queretaro</t>
  </si>
  <si>
    <t>Queretaro</t>
  </si>
  <si>
    <t>MAB911203-RR7</t>
  </si>
  <si>
    <t xml:space="preserve">Dinorah Irene Martinez Veyro </t>
  </si>
  <si>
    <t>INE CLAVE MRVYDN77111409M001</t>
  </si>
  <si>
    <t>Controladora Mabe SA DE CV</t>
  </si>
  <si>
    <t>40001880 0</t>
  </si>
  <si>
    <t>CARRETERA FEDERAL NO 51 KM110 S/N, OJO SECO, CELAYA, MEXICO CP 38158</t>
  </si>
  <si>
    <t>Mabe S.A de C.V</t>
  </si>
  <si>
    <t xml:space="preserve">21-12-22: Por favor hacer el cambio de representante ante ECA de MABE TYP LE-169, eliminar a Florencio Rovelo, en su lugar poner a Ulises Hernández, este es el correo de Ulises.HernandezOrduna@mabe.com.mx
</t>
  </si>
  <si>
    <t>Controladora Mabe S.A. de C.V.</t>
  </si>
  <si>
    <t xml:space="preserve">LE </t>
  </si>
  <si>
    <t>LE-170</t>
  </si>
  <si>
    <t>Igor Torres</t>
  </si>
  <si>
    <t>igor.torres@mabe.com.mx</t>
  </si>
  <si>
    <t>sharika.ramirez.suarez@mabe.com.mx</t>
  </si>
  <si>
    <t>52 4616186800 ext
6642</t>
  </si>
  <si>
    <t xml:space="preserve">52 461 6186800 ext 6642
</t>
  </si>
  <si>
    <t>Carretera Federal 51 km 110 Col. Poblado Ojo Seco Tramo Celaya-Salvatierra C.P.
38158, Celaya, Guanajuato</t>
  </si>
  <si>
    <t>Guanajuato</t>
  </si>
  <si>
    <t>LEI-870520-PG8</t>
  </si>
  <si>
    <t>Dinorah Irene Martinez Veyro</t>
  </si>
  <si>
    <t>INE, MRVYDN77111409M001</t>
  </si>
  <si>
    <t xml:space="preserve">Mexicana </t>
  </si>
  <si>
    <t>Abogado</t>
  </si>
  <si>
    <t>Carretera Federal 51 km 110 Col. Poblado Ojo Seco Tramo Celaya-Salvatierra C.P. 38158, Celaya, Guanajuato</t>
  </si>
  <si>
    <t>Finanzas</t>
  </si>
  <si>
    <t>Claudia Perez</t>
  </si>
  <si>
    <t>Claudia.Perez@mabe.com.mx</t>
  </si>
  <si>
    <t>8 a 6</t>
  </si>
  <si>
    <t>MABE S.A. DE C.V. (LEISER S. de R.L. de C.V.)</t>
  </si>
  <si>
    <t>Agrobiotek Laboratorios SRL</t>
  </si>
  <si>
    <t>LE-171</t>
  </si>
  <si>
    <t>Cristina Antigua</t>
  </si>
  <si>
    <t>cantigua@agrobiotek.com</t>
  </si>
  <si>
    <t xml:space="preserve"> cmueses@agrobiotek.com</t>
  </si>
  <si>
    <t>1-809-221-5751</t>
  </si>
  <si>
    <t>Calle Santiago 608, altos, Gazcue, Santo Domingo Republica Dominicana</t>
  </si>
  <si>
    <t xml:space="preserve">Santo  Domingo </t>
  </si>
  <si>
    <t>10186754-1</t>
  </si>
  <si>
    <t>Carolina Mueses</t>
  </si>
  <si>
    <t>001-0942907-6</t>
  </si>
  <si>
    <t>Se renovó contrato el 12/07/2024</t>
  </si>
  <si>
    <t>Industrial de Oleaginosas Americanas Sociedad Anónima/Laboratorio INOLASA</t>
  </si>
  <si>
    <t>LE-172</t>
  </si>
  <si>
    <t>Keilyn Vanessa Salas Villalobos,</t>
  </si>
  <si>
    <t>ksv@inolasa.com</t>
  </si>
  <si>
    <t>jnm@inolasa.com</t>
  </si>
  <si>
    <t>2636-0300 Ext: 393</t>
  </si>
  <si>
    <t>Dirección exacta: Puntarenas, Puntarenas, Barranca, contiguo a la
zona franca, Barranca.</t>
  </si>
  <si>
    <t xml:space="preserve">Puntarenas </t>
  </si>
  <si>
    <t>3-101-058770</t>
  </si>
  <si>
    <t>Fabio José Guerrero Chavarría</t>
  </si>
  <si>
    <t>8-0057-0594</t>
  </si>
  <si>
    <t>Costarricence</t>
  </si>
  <si>
    <t xml:space="preserve">Ingeniero Industrial </t>
  </si>
  <si>
    <t>Ingresado 2019/09/26</t>
  </si>
  <si>
    <t>Ingeniería Gamboa IGSA S,A</t>
  </si>
  <si>
    <t xml:space="preserve">IGSA CONSULTORÍA </t>
  </si>
  <si>
    <t>LC-173</t>
  </si>
  <si>
    <t>José Andrés Gamboa González Maricel Calderón Rojas</t>
  </si>
  <si>
    <t>agamboa@igsacr.com 
agamboa@ingenieriagamboa.com</t>
  </si>
  <si>
    <t xml:space="preserve">mcalderon@igsacr.com y
mcalderon@ingenieriagamboa.com;mguillen@ingenieriagamboa.com </t>
  </si>
  <si>
    <t>4034-3846</t>
  </si>
  <si>
    <t>San José, Guadalupe, Goicoechea, 200 m este y 50 m sur de la esquina Sureste del Parque de Guadalupe, Calle 59</t>
  </si>
  <si>
    <t>José Andrés Gamboa González</t>
  </si>
  <si>
    <t>Gerencia Administrativa</t>
  </si>
  <si>
    <t>Maricel Calderón</t>
  </si>
  <si>
    <t xml:space="preserve">mcalderon@ingenieriagamboa.com </t>
  </si>
  <si>
    <t>8:00 am a 5:00 pm, de lunes a viernes</t>
  </si>
  <si>
    <t xml:space="preserve">COOPELESCA </t>
  </si>
  <si>
    <t>Cooperativa de Electrificación Rural de San Carlos</t>
  </si>
  <si>
    <t>LC-174</t>
  </si>
  <si>
    <t>Valery Alvarado Gamboa / Bernal Lopez Collado</t>
  </si>
  <si>
    <t>valvarado@coopelesca.co.cr</t>
  </si>
  <si>
    <t xml:space="preserve">jgamboa@coopelesca.co.cr, blopez@coopelesca.co.cr </t>
  </si>
  <si>
    <t>2401-2929</t>
  </si>
  <si>
    <t>Edificio Coopelesca, Barrio Santa Fe, oficina de ingeniería</t>
  </si>
  <si>
    <t>3-004045117</t>
  </si>
  <si>
    <t xml:space="preserve">Omar Miranda Murillo </t>
  </si>
  <si>
    <t>5 0165 0019</t>
  </si>
  <si>
    <t>Costado este de la Escuela Juan Chavez, Oficina de Gerencia en Coopelesca RL</t>
  </si>
  <si>
    <t xml:space="preserve">Proveeduria </t>
  </si>
  <si>
    <t>Juan Daniel Robleto Vargas</t>
  </si>
  <si>
    <t>2401-29-56</t>
  </si>
  <si>
    <t>Edificio Coopelesca, Barrio Santa Fe, oficina de proveeduría</t>
  </si>
  <si>
    <t>jdrobleto@Coopelesca.co.cr</t>
  </si>
  <si>
    <t>07:00 a 16:00</t>
  </si>
  <si>
    <t>Multi Romanas Panama Inc</t>
  </si>
  <si>
    <t xml:space="preserve">Laboratorio de Metrología y Calibraciones </t>
  </si>
  <si>
    <t>LC-175</t>
  </si>
  <si>
    <t>Alexander Aguilar</t>
  </si>
  <si>
    <t>metrologia@romanaspanama.com</t>
  </si>
  <si>
    <t>(507)933-5132</t>
  </si>
  <si>
    <t>Panamá</t>
  </si>
  <si>
    <t>Santiago de Veraguas, Republica de Panamá</t>
  </si>
  <si>
    <t>Santiago</t>
  </si>
  <si>
    <t>1997588-1-739672 DV 5</t>
  </si>
  <si>
    <t>www.romanaspanama.com</t>
  </si>
  <si>
    <t xml:space="preserve">Richard Pretto García </t>
  </si>
  <si>
    <t>PE-8-444</t>
  </si>
  <si>
    <t>Panameño</t>
  </si>
  <si>
    <t xml:space="preserve">Comerciante </t>
  </si>
  <si>
    <t>Betzaida Troya</t>
  </si>
  <si>
    <t xml:space="preserve">Calle Polidoro Pinzón, Edificio Ascoove, Santiago de Veraguas, Republica de Panamá.  </t>
  </si>
  <si>
    <t>contabilidad@romanaspanama.com</t>
  </si>
  <si>
    <t>8:00 am a 5:00 pm</t>
  </si>
  <si>
    <t xml:space="preserve">Laboratorio Clinico Clinica Biblica </t>
  </si>
  <si>
    <t>Asociación de Servicios Medicos Costarricences ASEMECO</t>
  </si>
  <si>
    <t>LE-176</t>
  </si>
  <si>
    <t xml:space="preserve">Rodrigo Cruz Jimenez ,Xinia Porras Sanchez </t>
  </si>
  <si>
    <t xml:space="preserve">gsanchez@clinicabiblica.com </t>
  </si>
  <si>
    <t xml:space="preserve">rcruz@clinicabiblica.com ;  xporras@clinicabiblica.com </t>
  </si>
  <si>
    <t>2522-1010</t>
  </si>
  <si>
    <t>2258-7184</t>
  </si>
  <si>
    <t>Calle Central y primera, Avenida 14 y 16.San José Costa Rica.Edificio Hospital Clinica Biblica Laboratorio</t>
  </si>
  <si>
    <t>3-002-045363</t>
  </si>
  <si>
    <t xml:space="preserve">www.clinicabiblica.com </t>
  </si>
  <si>
    <t>Gerardo Sanchez Cordero</t>
  </si>
  <si>
    <t>1-0822-0113</t>
  </si>
  <si>
    <t>Calle central y primera, avenida 14 y 16. San José Costa Rica.</t>
  </si>
  <si>
    <t>Apoderado generalisimo sin limite de suma</t>
  </si>
  <si>
    <t>Credito y cobro</t>
  </si>
  <si>
    <t xml:space="preserve">Sandro León Rodríguez </t>
  </si>
  <si>
    <t>2522-1134</t>
  </si>
  <si>
    <t xml:space="preserve">sleon@clinicabiblica.com </t>
  </si>
  <si>
    <t>Lunes de 7:00am a 5:00pm/martes a viernes 7:00am a 4:30pm</t>
  </si>
  <si>
    <t>ALS Life Sciences S.A.</t>
  </si>
  <si>
    <t>LE-177</t>
  </si>
  <si>
    <t>Nicole Tapia Olivares / Laura Correa Velásquez</t>
  </si>
  <si>
    <t>Nicole.tapia@alsglobal.com ; Laura.correa@alsglobal.com</t>
  </si>
  <si>
    <t>56 2 2654 6108 / 56 9 7398 9591</t>
  </si>
  <si>
    <t xml:space="preserve">Chile </t>
  </si>
  <si>
    <t>Hermanos Carrera Pinto 159, Colina, Santiago</t>
  </si>
  <si>
    <t xml:space="preserve">Santiago </t>
  </si>
  <si>
    <t>76.416.643-4</t>
  </si>
  <si>
    <t xml:space="preserve">Mariano Crende </t>
  </si>
  <si>
    <t>AAA15582</t>
  </si>
  <si>
    <t>Chileno</t>
  </si>
  <si>
    <t xml:space="preserve">Lic en Ciencias Ambientales </t>
  </si>
  <si>
    <t>Administración y Finanzas</t>
  </si>
  <si>
    <t>Juan Pablo Rojas</t>
  </si>
  <si>
    <t>56 2 2654 6108 / +56 9 7398 9591</t>
  </si>
  <si>
    <t>Juanpablo.rojas@alsglobal.com</t>
  </si>
  <si>
    <t>Lunes a viernes, 8:00 a 17:00 hrs</t>
  </si>
  <si>
    <t>SIMC Calibración y Mantenimiento</t>
  </si>
  <si>
    <t xml:space="preserve">Servicios Tecnicos Mora MYR </t>
  </si>
  <si>
    <t>LC-178</t>
  </si>
  <si>
    <t>Carlos Enrique Rodríguez Montero 
Ana Emilia Morales Alemán</t>
  </si>
  <si>
    <t>crodriguez@simccr.com</t>
  </si>
  <si>
    <t>amorales@simccr.com</t>
  </si>
  <si>
    <t>2228-4931</t>
  </si>
  <si>
    <t>50 metros sur y 50 metros oeste del Restaurante Plaza España, Calle Vindas.   Segunda casa a mano izquierda, dos plantas.</t>
  </si>
  <si>
    <t>3-101-752444</t>
  </si>
  <si>
    <t>www.simccr.com</t>
  </si>
  <si>
    <t>María Maritza Mora Chaves</t>
  </si>
  <si>
    <t>3-0233-0512</t>
  </si>
  <si>
    <t>María Maritza Mora Cháves</t>
  </si>
  <si>
    <t>2228-4931 / 8926-0830</t>
  </si>
  <si>
    <t>simcmercadeo@gmail.com</t>
  </si>
  <si>
    <t>(8:00 a 12:00) horas y de (13:00 a 17:00) horas</t>
  </si>
  <si>
    <t>Baltic Control CMA SAC</t>
  </si>
  <si>
    <t>LE-179</t>
  </si>
  <si>
    <t xml:space="preserve">Pablo Fernadez García </t>
  </si>
  <si>
    <t>info@balticcontrol.us</t>
  </si>
  <si>
    <t>scerpella@balticcontrol.us</t>
  </si>
  <si>
    <t xml:space="preserve">TecnoLab </t>
  </si>
  <si>
    <t>Tecnoindustria del Pacifico TDP SRL</t>
  </si>
  <si>
    <t>LE-180</t>
  </si>
  <si>
    <t>Manuel Antonio Umaña Loria</t>
  </si>
  <si>
    <t>info@tecnolabcr.com; mumana@tecnolabcr.com</t>
  </si>
  <si>
    <t>fgonzalez@tecnolabcr.com</t>
  </si>
  <si>
    <t>4030-6879</t>
  </si>
  <si>
    <t>200 m. Norte y 400 m. Oeste de la UCR, sede Santa Cruz, Guanacaste, Costa Rica.</t>
  </si>
  <si>
    <t>3-102-753855</t>
  </si>
  <si>
    <t>www.tecnolabcr.com</t>
  </si>
  <si>
    <t>Fabiola de los Ángeles González González</t>
  </si>
  <si>
    <t>3-0484-0659</t>
  </si>
  <si>
    <t>Contadora</t>
  </si>
  <si>
    <t>Santa Cruz, Guanacaste, 100 norte y 400 oeste de la sede UCR Santa Cruz.</t>
  </si>
  <si>
    <t>Gerente Administrativo</t>
  </si>
  <si>
    <t>Gerencia Financiera</t>
  </si>
  <si>
    <t>Lic. Orlando Espinoza</t>
  </si>
  <si>
    <t>Santa Cruz, Guanacaste, Barrio Limón, 200 m norte y 400 m oeste de la UCR, Local Blanco de 2 plantas a mano derecha</t>
  </si>
  <si>
    <t>info@tecnolabcr.com</t>
  </si>
  <si>
    <t>7 am a 5 pm de Lunes a Sábado</t>
  </si>
  <si>
    <t>Tecnolab</t>
  </si>
  <si>
    <t>Tecno Soluciones Integrales Leiva S.A.</t>
  </si>
  <si>
    <t>LE-181</t>
  </si>
  <si>
    <t>Nazareth Rojas Rodriguez.</t>
  </si>
  <si>
    <t>calidad1@tecnosolucionescr.net</t>
  </si>
  <si>
    <t>pleiva@tecnosolucionescr.net</t>
  </si>
  <si>
    <t> 2231 1440 </t>
  </si>
  <si>
    <t>Oficina #4, Oficentro Condal, frente a estación de bomberos de Pavas, Rohrmoser,Pavas, San José, Costa Rica.</t>
  </si>
  <si>
    <t> 3-101-404123 </t>
  </si>
  <si>
    <t> https://www.tecnosolucionescr.net/ </t>
  </si>
  <si>
    <t>Pablo Leiva fernández</t>
  </si>
  <si>
    <t>1 0999 0733 </t>
  </si>
  <si>
    <t>Biologo</t>
  </si>
  <si>
    <t>de la Schneider Electric 150 metros Norte A SCHNEIDER ELECTRIC FRENTE A ZAPATERIA SANTA CATA 10109 San José, Active COSTA RICA </t>
  </si>
  <si>
    <t>Presidente apoderado genralisimo sin límite de suma</t>
  </si>
  <si>
    <t>Departamento de Administración y Finanzas </t>
  </si>
  <si>
    <t>Sergio Madrigal Calderon </t>
  </si>
  <si>
    <t>2231 1440 </t>
  </si>
  <si>
    <t>Oficina #4, Oficentro Condal, frente a estación de bomberos de Pavas, Rohrmoser,Pavas, San José, Costa Rica. </t>
  </si>
  <si>
    <t>contabilidad@tecnosolucionescr.net </t>
  </si>
  <si>
    <t>De Lunea a Viernes, de 8 am a 5 pm</t>
  </si>
  <si>
    <t>Tecnosoluciones Integrales</t>
  </si>
  <si>
    <t>Mocis Metroloy Lab S.R.L.</t>
  </si>
  <si>
    <t>LC-182</t>
  </si>
  <si>
    <t>José Luis Loría Álvarez/ Esteban Fallas Ramírez</t>
  </si>
  <si>
    <t>jloria01@hotmail.com; efallas@mocislab.com</t>
  </si>
  <si>
    <t>2431-2854</t>
  </si>
  <si>
    <t>Alajuela, Central, Barrio San José, Tuetal Norte, 200 m oeste Hotel Pura Vida, frente al supermercado La Paz</t>
  </si>
  <si>
    <t>3-102-792198</t>
  </si>
  <si>
    <t>http://mocislab.mozello.com</t>
  </si>
  <si>
    <t>Esteban Fallas Ramírez</t>
  </si>
  <si>
    <t>1-1003-0470</t>
  </si>
  <si>
    <t>Ingeniero Mantenimiento Industrial</t>
  </si>
  <si>
    <t>8991-1534</t>
  </si>
  <si>
    <t>efallas@mocislab.com</t>
  </si>
  <si>
    <t>De Lunea a Viernes, de 7 am a 5 pm</t>
  </si>
  <si>
    <t>Mocis Metrology Lab</t>
  </si>
  <si>
    <t>D´Geo</t>
  </si>
  <si>
    <t>Geotecnia Ingeniería y Perforacion GEOINPER de Costa Rica</t>
  </si>
  <si>
    <t>LE-183</t>
  </si>
  <si>
    <t>Luisa María Rojo Monzón</t>
  </si>
  <si>
    <t>lrojo@dgeosoluciones.com</t>
  </si>
  <si>
    <t>jgamboa@dgeosoluciones.com</t>
  </si>
  <si>
    <t>2283-6698</t>
  </si>
  <si>
    <t>Montes de Oca, San Pedro, Vargas Araya, 50 m sur de la Escuela Laboratorio Emma Gamboa, casa con verjas negras y detalles en piedra en segunda planta</t>
  </si>
  <si>
    <t>dgeosoluciones.com</t>
  </si>
  <si>
    <t>1-855-246</t>
  </si>
  <si>
    <t>Presidente / Gerente</t>
  </si>
  <si>
    <t>Financiero Contable</t>
  </si>
  <si>
    <t>Diana Cedeño</t>
  </si>
  <si>
    <t>facturas@dgeosoluciones.com</t>
  </si>
  <si>
    <t>De 8:00 am a 5:00 pm</t>
  </si>
  <si>
    <t>Frutilight S.A.</t>
  </si>
  <si>
    <t>LE-184</t>
  </si>
  <si>
    <t>Miguel Rojas Davis</t>
  </si>
  <si>
    <t>mrojas@frutilight.co.cr</t>
  </si>
  <si>
    <t>jarguedas@frutilight.co.cr</t>
  </si>
  <si>
    <t>Limón, Siquirres, Germania, Milano, Ruta 812, 2 km al Norte de la Ruta 32. Plantel Frutilight, S.A.</t>
  </si>
  <si>
    <t>https://www.alcatradingcorp.com/</t>
  </si>
  <si>
    <t>Fanny Valerio Ramirez</t>
  </si>
  <si>
    <t>1-0699-0768</t>
  </si>
  <si>
    <t>Viuda</t>
  </si>
  <si>
    <t>Psicologa Clínica</t>
  </si>
  <si>
    <t>Katherine Austin</t>
  </si>
  <si>
    <t>facturaelectronica@frutilight.co.cr</t>
  </si>
  <si>
    <t>07:00 AM  - 05:00 PM</t>
  </si>
  <si>
    <t>FRUTILIGHT S.A.</t>
  </si>
  <si>
    <t>Laboratorio de Calibración del Laboratorio de Materiales</t>
  </si>
  <si>
    <t>Publico</t>
  </si>
  <si>
    <t>LC-185</t>
  </si>
  <si>
    <t>lem@ina.ac.cr</t>
  </si>
  <si>
    <t>San José, Barrio La Plywood, 2km oeste de Montecillos.  Ciudad Tecnológica Mario Echandi.</t>
  </si>
  <si>
    <t>www.ina.ac.cr</t>
  </si>
  <si>
    <t>Andrés Romero Rodríguez</t>
  </si>
  <si>
    <t>1-1042-0227</t>
  </si>
  <si>
    <t>Licenciado en Psicología</t>
  </si>
  <si>
    <t>Edificio de Sede Central INA, Frente al parque nacional de diversiones. Presidencia Ejecutiva, Uruca, San José.</t>
  </si>
  <si>
    <t>Asesoría de la Calidad</t>
  </si>
  <si>
    <t>Alexander Céspedes Solís</t>
  </si>
  <si>
    <t>Edificio de Sede Central INA, Frente al parque nacional de diversiones, Uruca, San José.</t>
  </si>
  <si>
    <t>accespedessolis@ina.ac.cr</t>
  </si>
  <si>
    <t>7:00 a 15:00</t>
  </si>
  <si>
    <t>TecnoAnalítica Internacional S.A.</t>
  </si>
  <si>
    <t>LE-186</t>
  </si>
  <si>
    <t>-</t>
  </si>
  <si>
    <t>Mariela Martínez Arroyo</t>
  </si>
  <si>
    <t>laboratorio@tecnoanalitica.net</t>
  </si>
  <si>
    <t>2294-7000</t>
  </si>
  <si>
    <t xml:space="preserve">San José, San José, Vázquez de Coronado, Barrio El Carmen, 75 metros este y 50 metros norte de la Iglesia de Barrio El Carmen, edificio con entrada de lastre con portón negro. </t>
  </si>
  <si>
    <t>3-101213715</t>
  </si>
  <si>
    <t>Luis Gerardo Chaves Papili</t>
  </si>
  <si>
    <t>1-0917-0426</t>
  </si>
  <si>
    <t>Ingeniero químico, ingeniero civil</t>
  </si>
  <si>
    <t>Cuentas por pagar</t>
  </si>
  <si>
    <t>Sonia Garro</t>
  </si>
  <si>
    <t>contabilidad@tecnoanalitica.net</t>
  </si>
  <si>
    <t>De Lunes a Viernes de 8:00 a.m. a 5:30 p.m.
Sábados de 8:00 a.m. a 2:00 p.m.</t>
  </si>
  <si>
    <t xml:space="preserve">CA-005-2023-07 Cerrar y archivar el expediente del proceso inicial de acreditación del laboratorio de ensayos TecnoAnalítica Internacional S.A., cédula jurídica 3-101213715, con expediente LE-186, debido a que no fue posible realizar en los plazos máximos establecidos en procedimientos ECA, por causas imputables al OEC la evaluación en sitio; así como por solicitud expresa del OEC de forma voluntaria. </t>
  </si>
  <si>
    <t>Cementos Fortaleza by Plycem</t>
  </si>
  <si>
    <t>Desarrollos Industriales Revolución DIR S.A</t>
  </si>
  <si>
    <t>LE-187</t>
  </si>
  <si>
    <t>Lisset María Lobo Calvo Jefe SIG
Juan Pablo Mora Chinchilla Jefe Laboratorio 
Keymel Salazar Chacón Coordinador Calidad</t>
  </si>
  <si>
    <t>lloboc@cementosfortaleza.com</t>
  </si>
  <si>
    <t>jmorac@cementosfortaleza.com; ksalazarc@cementosfortaleza.com</t>
  </si>
  <si>
    <t>Puntarenas, Esparza, Caldera, Salinas, de la Iglesia Católica 500 metros
al norte y 500 metros al este,</t>
  </si>
  <si>
    <t>3-101-707523</t>
  </si>
  <si>
    <t>Enrique
Alberto Acosta Mainieri / Hermis Esteban Cortes Brenes</t>
  </si>
  <si>
    <t>1-0433-0711 / 3-0438-0977</t>
  </si>
  <si>
    <t>costarricenses</t>
  </si>
  <si>
    <t>Ingeniero Químico / Administrador de Empresas</t>
  </si>
  <si>
    <t>Presidente / Tesorero</t>
  </si>
  <si>
    <t>Cuentas por Pagar</t>
  </si>
  <si>
    <t>Josef Blanco Gonzalez</t>
  </si>
  <si>
    <t>jblancog@cementosfortaleza.com</t>
  </si>
  <si>
    <t>Lunes a viernes 8 am a 5 pm</t>
  </si>
  <si>
    <t>Desarrollos Industriales Revolución DIR S.A. - Cementos Fortaleza by Plycem</t>
  </si>
  <si>
    <t>Laboratorio de Materiales</t>
  </si>
  <si>
    <t>Ministerio de Obras Públicas y Transportes</t>
  </si>
  <si>
    <t>LE-188</t>
  </si>
  <si>
    <t>Juan Carlos Elizondo Ramírez / Melissa Durán Monge</t>
  </si>
  <si>
    <t>juan.elizondo@mopt.go.cr; melisa.duran@mopt.go.cr</t>
  </si>
  <si>
    <t>2523-2450 / 2523-2819</t>
  </si>
  <si>
    <t>San José, cantón Central, distrito Catedral, Plantel Central MOPT,
costado sur del gimnasio del Liceo de Costa Rica, Avenidas 20 y 22 Calles 9 y 11 Plaza González
Víquez</t>
  </si>
  <si>
    <t>2-100-042008</t>
  </si>
  <si>
    <t>Ing. Efraim Zeledón Leiva</t>
  </si>
  <si>
    <t>Ministro</t>
  </si>
  <si>
    <t>Departamento Ejecución Presupuestaria, Dirección Financiera.</t>
  </si>
  <si>
    <t>Alexander Jiménez Bolaños</t>
  </si>
  <si>
    <t>2523-2225</t>
  </si>
  <si>
    <t>alexander.jimenez@mopt.go.cr</t>
  </si>
  <si>
    <t>7:00 a.m. a 3:00 p.m.</t>
  </si>
  <si>
    <t>Ministerio de Obras Públicas y Transportes - Laboratorio de Materiales</t>
  </si>
  <si>
    <t>Mediante oficio: DVOP-DI-GM-2024-171 se solicita cambio de representante ante ECA.</t>
  </si>
  <si>
    <t>Diagnósticos de Alta Tecnología DATSA S.A.</t>
  </si>
  <si>
    <t>LC-189</t>
  </si>
  <si>
    <t>A01: 09/07/2025</t>
  </si>
  <si>
    <t>Priscilla Ledezma Boschini</t>
  </si>
  <si>
    <t>metrologiabiomedica1@gmail.com</t>
  </si>
  <si>
    <t>bolepri93@hotmail.com, amr@datsaines.com, lrojomonzon@gmail.com</t>
  </si>
  <si>
    <t>2290-9806</t>
  </si>
  <si>
    <t>San José, Sabana Sur, del Restaurante Mc Donald´s, 100 m sur y 100 m este, edificio esquinero, a mano izquierda, Muro Gris, portón Negro, sobre avenida 14, diagonal a la sucursal del INS</t>
  </si>
  <si>
    <t>http://www.datsaines.com/</t>
  </si>
  <si>
    <t>Miguel Ángel Sáenz Ugalde</t>
  </si>
  <si>
    <t>San José, Montes de Oca, Los Yoses, de la cámara de productores de Leche, trescientos metros al norte, edificio esquinero, oficinas de Grupo Jurídico Especializado.</t>
  </si>
  <si>
    <t>Alma Dilia Rivera de Pérez</t>
  </si>
  <si>
    <t>(+502) 30648019</t>
  </si>
  <si>
    <t>Cuidad de Guatemala, Diagonal 14. 11-40. Zona 5. Jardines de la asunción.</t>
  </si>
  <si>
    <t>aperez@datsaines.com</t>
  </si>
  <si>
    <t>De 7:30am a 4:30 pm</t>
  </si>
  <si>
    <t>Romanas CR General Services S.R.L.</t>
  </si>
  <si>
    <t>LC-190</t>
  </si>
  <si>
    <t>A01: 19/03/2025</t>
  </si>
  <si>
    <t>Ana Beatriz Santos Rojo</t>
  </si>
  <si>
    <t>crromanas@gmail.com</t>
  </si>
  <si>
    <t>blopez@romanascr.com</t>
  </si>
  <si>
    <t>2551-3289 / 8590-0878</t>
  </si>
  <si>
    <t>Cartago, El Carmen, Calle 12, 100 m OE y 75 m S del Bar La Fortuna, frente al CECUDI.</t>
  </si>
  <si>
    <t>3-102-796013</t>
  </si>
  <si>
    <t>www.romanascr.com</t>
  </si>
  <si>
    <t>Bladimir Jesús López Centeno</t>
  </si>
  <si>
    <t>1-1698-0480</t>
  </si>
  <si>
    <t>Cartago, El Carmen, 100 m OE y 75 m S del Bar La Fortuna, frente al CECUDI.</t>
  </si>
  <si>
    <t>Gerente 02 / Director Técnico y Técnico de Laboratorio</t>
  </si>
  <si>
    <t>Departamento de Contabilidad</t>
  </si>
  <si>
    <t>Hilary de los Ángeles Ríos Barrantes</t>
  </si>
  <si>
    <t>2551-3289</t>
  </si>
  <si>
    <t>Cartago, El Carmen, 100 m OE y 75 m S del Bar La Fortuna.</t>
  </si>
  <si>
    <t>facturacrromanas@gmail.com</t>
  </si>
  <si>
    <t>De Lunes a Viernes de 7:00 am a 8:00 pm</t>
  </si>
  <si>
    <t>Romanas CR</t>
  </si>
  <si>
    <t>Laboratorio de Calibración del Negocio de Energía Eléctrica y Alumbrado Público</t>
  </si>
  <si>
    <t>Empresa de Servicios Públicos de Heredia ESPH</t>
  </si>
  <si>
    <t>LC-191</t>
  </si>
  <si>
    <t>Ernesto Salazar Pérez</t>
  </si>
  <si>
    <t>esalazar@esph-sa.com</t>
  </si>
  <si>
    <t>2562-3057 / 2562-3924</t>
  </si>
  <si>
    <t>(506) 2237-6566</t>
  </si>
  <si>
    <t>Heredia, Heredia, Mercedes, San Jorge, del Estadio Eladio Rosabal Cordero, 1 km al oeste, costado oeste de la plaza de deportes.</t>
  </si>
  <si>
    <t>Edgar Allan Benavides Vilchez</t>
  </si>
  <si>
    <t>4-0102-1032</t>
  </si>
  <si>
    <t>Ingeniero electricista</t>
  </si>
  <si>
    <t>Heredia, Heredia, Heredia, Calle 1, Avenida 10, Heredia, Costa Rica.</t>
  </si>
  <si>
    <t>7:00 am a 4:45 pm</t>
  </si>
  <si>
    <t>Cambio representante legal 12-8-2024</t>
  </si>
  <si>
    <t>Ingenieros Ulloa S.A-TERRATEC</t>
  </si>
  <si>
    <t>LE-192</t>
  </si>
  <si>
    <t>María Daniela Cantillo Morales</t>
  </si>
  <si>
    <t>dcantillo@terratec-cr.com</t>
  </si>
  <si>
    <t>david.ulloa@terratec-cr.com</t>
  </si>
  <si>
    <t>2215-1810</t>
  </si>
  <si>
    <t>Heredia, Santo Domingo, San Vicente, Quintana, Calle España, Avenidas 7 y 30Casa Blanca con portón café a mano derecha</t>
  </si>
  <si>
    <t>3-101-554230</t>
  </si>
  <si>
    <t>www.terratec-cr.com</t>
  </si>
  <si>
    <t>David Ulloa Sáenz</t>
  </si>
  <si>
    <t>1-1202-0894</t>
  </si>
  <si>
    <t>Heredia, Santo Domingo, Santa Rosa, Santa Rosa, Calles 6 y 8, Avenida 2, Condominio Avenir. Casa 606</t>
  </si>
  <si>
    <t>Facturación y cobro</t>
  </si>
  <si>
    <t>Heredia, Santo Domingo, San Vicente, Quintana, Calle 4 de agosto, Avenida 11, Entrada calle de lastre, 200 Oeste del Colegio SAMAGU</t>
  </si>
  <si>
    <t>info@terratec-cr.com</t>
  </si>
  <si>
    <t>Lunes a Viernes 7h-17h. Jornada continua</t>
  </si>
  <si>
    <t>Ingenieros Ulloa S.A.</t>
  </si>
  <si>
    <t>Laboratorio de Suelos y Foliares de Palma Tica</t>
  </si>
  <si>
    <t>Compañía Palma Tica Sociedad Anónima</t>
  </si>
  <si>
    <t>LE-193</t>
  </si>
  <si>
    <t xml:space="preserve">Priscilla Cedeño Beita </t>
  </si>
  <si>
    <t xml:space="preserve">ncedeno@palmatica.com </t>
  </si>
  <si>
    <t>gmejias@palmatica.com</t>
  </si>
  <si>
    <t>8704-7411
2785-9194
2785-9193</t>
  </si>
  <si>
    <t xml:space="preserve">Costa Rica, Puntarenas, Corredores, distrito corredor, barrio Coto 47, 500 metros sur de la entrada principal de las oficinas centrales de compañía Palma Tica.
</t>
  </si>
  <si>
    <t>3-101-173999</t>
  </si>
  <si>
    <t>https://lsfpt.palmatica.com/</t>
  </si>
  <si>
    <t xml:space="preserve">Lucas Santana </t>
  </si>
  <si>
    <t>YC020138</t>
  </si>
  <si>
    <t>Ingeniero Agronomo</t>
  </si>
  <si>
    <t xml:space="preserve">Dirección: Costa Rica, Puntarenas, Corredores, distrito corredor, barrio Coto 47, 100 metros sur de la entrada principal de las oficinas centrales de compañía Palma Tica.
Teléfono: 2785-9193
  Correo electrónico: dsanchez@palmatica.com / gmejias@palmatica.com 
</t>
  </si>
  <si>
    <t xml:space="preserve">Fabian Brenes Vargas </t>
  </si>
  <si>
    <t>2284-1373</t>
  </si>
  <si>
    <t>San José , Central, Hosital, Barrio Cuba, avenida 26, entre calle 20 y calle diagonal 24, de la iglesia Medalla Mlagrosa 75 m Oeste edificio verde</t>
  </si>
  <si>
    <t>fbrenes@numar.net</t>
  </si>
  <si>
    <t>8h-5h</t>
  </si>
  <si>
    <t xml:space="preserve">Palmatica </t>
  </si>
  <si>
    <t>Laboratorio de Aseguramiento de la Calidad de la Planta Numar</t>
  </si>
  <si>
    <t>Grupo Agroindustrial Numar S. A</t>
  </si>
  <si>
    <t>LE-194</t>
  </si>
  <si>
    <t>Jasson Isaac Parra Burgos</t>
  </si>
  <si>
    <t>jparra@numar.net</t>
  </si>
  <si>
    <t xml:space="preserve"> rarevalo@numar.net</t>
  </si>
  <si>
    <t>2284-1192</t>
  </si>
  <si>
    <t>Calle 22-24 Avenida 12, San José, Costa Rica</t>
  </si>
  <si>
    <t>3-101-173639</t>
  </si>
  <si>
    <t>www.gruponumar.com</t>
  </si>
  <si>
    <t>Alejandro González May</t>
  </si>
  <si>
    <t>8-0080-0577</t>
  </si>
  <si>
    <t>Naturalizado Costarricense</t>
  </si>
  <si>
    <t>Administrador</t>
  </si>
  <si>
    <t>San José, Barrio Cuba, Calle 22-24 Avenida 12, Frente a Clínica Moreno Cañas</t>
  </si>
  <si>
    <t>Departamento de Finanzas</t>
  </si>
  <si>
    <t>Sergio Cordero</t>
  </si>
  <si>
    <t>2284-1374</t>
  </si>
  <si>
    <t>scordero@numar.net</t>
  </si>
  <si>
    <t>L a V 7:30 am a 5:00 pm</t>
  </si>
  <si>
    <t>Grupo Agroindustrial Numar S.A.</t>
  </si>
  <si>
    <t>22/11/23: Indica la SAL que se retiró del proceso, se cierra el expediente</t>
  </si>
  <si>
    <t>FunCeNAT</t>
  </si>
  <si>
    <t>Fundación Centro de Alta Tecnología</t>
  </si>
  <si>
    <t>P</t>
  </si>
  <si>
    <t>LE-195</t>
  </si>
  <si>
    <t>Andrea Araya Sibaja</t>
  </si>
  <si>
    <t xml:space="preserve"> aaraya@cenat.ac.cr </t>
  </si>
  <si>
    <t xml:space="preserve">ccordero@cenat.ac.cr; lanotec@cenat.ac.cr </t>
  </si>
  <si>
    <t>1.3 km al norte de la Embajada de Estados Unidos, Edificio Centro Nacional de Alta Tecnología, Pavas, Rohrmoser</t>
  </si>
  <si>
    <t>3-006-213777</t>
  </si>
  <si>
    <t>https://www.cenat.ac.cr/es/</t>
  </si>
  <si>
    <t>Cynthia María Cordero Solís</t>
  </si>
  <si>
    <t>1-1139-0804</t>
  </si>
  <si>
    <t>Máster en Administración con énfasis en Gerencia</t>
  </si>
  <si>
    <t>Yakelyn Bejarano López</t>
  </si>
  <si>
    <t>facturas@funcenat.org</t>
  </si>
  <si>
    <t>7:30am a 4:30pm</t>
  </si>
  <si>
    <t>LabServices</t>
  </si>
  <si>
    <t>Labservices Laboratorio de Aguas y Alimentos Sociedad Anonima</t>
  </si>
  <si>
    <t>LE-196</t>
  </si>
  <si>
    <t>María Fernanda Núñez Pacheco</t>
  </si>
  <si>
    <t>calidad@labservicescr.com</t>
  </si>
  <si>
    <t>22016553 / 7033 3588</t>
  </si>
  <si>
    <t>Alajuela, Naranjo, Palmitos, Concepción, Calle La Quesera, de la escuela José de Olmo, 100 m Oeste, casa a mano derecha, color negro</t>
  </si>
  <si>
    <t>3-101-713355</t>
  </si>
  <si>
    <t>https://labservicescr.com/</t>
  </si>
  <si>
    <t>Rigoberto Barrantes Hidalgo</t>
  </si>
  <si>
    <t>2-0635-0778</t>
  </si>
  <si>
    <t>Alajuela, Naranjo, Palmitos, Concepción, Calle La Quesera, Del a escuela José de Olmo, 100 m Oeste, casa a mano derecha, color negro</t>
  </si>
  <si>
    <t>facturacionlabservices@gmail.com</t>
  </si>
  <si>
    <t>Lunes a viernes de 8 am a 5 pm</t>
  </si>
  <si>
    <t xml:space="preserve">Laboratorio de Ensayo de Standard Fruit Company de Costa Rica S.A. (LESFCO) </t>
  </si>
  <si>
    <t>Standard Fruit Company de Costa Rica S.A.</t>
  </si>
  <si>
    <t>LE-197</t>
  </si>
  <si>
    <t>Adrián Lobo
Gerente:  Gerardo Chacón</t>
  </si>
  <si>
    <t>adrian.e.lobo@dole.com</t>
  </si>
  <si>
    <t>melvin.cruz@dole.com</t>
  </si>
  <si>
    <t>2287-3000</t>
  </si>
  <si>
    <t xml:space="preserve">Heredia, Sarapiquí, Horquetas, Río Frío, Finca 6 </t>
  </si>
  <si>
    <t>3-101-105181</t>
  </si>
  <si>
    <t xml:space="preserve">Manrique José Kopper Ramirez </t>
  </si>
  <si>
    <t>1-0918-0285</t>
  </si>
  <si>
    <t xml:space="preserve">Ingeniero Agrónomo, MBA </t>
  </si>
  <si>
    <t xml:space="preserve">Finca 6, oficinas administrativas de SFCO S.A. </t>
  </si>
  <si>
    <t>Vicepresidente</t>
  </si>
  <si>
    <t xml:space="preserve">Facturación y Cobro / </t>
  </si>
  <si>
    <t>Yagdani Calvo Herrera</t>
  </si>
  <si>
    <t>2287-3000 *ext 4231</t>
  </si>
  <si>
    <t>yagdani.calvo@dole.com</t>
  </si>
  <si>
    <t>Lunes a viernes de 6 am a 4 pm</t>
  </si>
  <si>
    <t>6/10/25: Suspensión total voluntaria CA-027-2025-07</t>
  </si>
  <si>
    <t>Tecnosolum Laboratorio</t>
  </si>
  <si>
    <t>Tecnosolum Consultores Geotécnicos S.A.</t>
  </si>
  <si>
    <t>LE-198</t>
  </si>
  <si>
    <t>Erick Brenes Rodríguez</t>
  </si>
  <si>
    <t>erick.brenes@tecnosolum.co.cr</t>
  </si>
  <si>
    <t>recepcion@tecnosolum.co.cr</t>
  </si>
  <si>
    <t>2201-6903</t>
  </si>
  <si>
    <t>2201-6904</t>
  </si>
  <si>
    <t>Cartago, El Guarco, Tejar, del servicientro El Guarco 100 m sur y 150 m al oeste, oficinas rotuladas de la empresa.</t>
  </si>
  <si>
    <t>3-101-692087</t>
  </si>
  <si>
    <t>https://tecnosolumcostarica.com/</t>
  </si>
  <si>
    <t>ERICK BRENES RODRIGUEZ</t>
  </si>
  <si>
    <t>CASA 48-A, Barrio Res Villa Bonita, Dulce Nombre, Cartago, Costa Rica</t>
  </si>
  <si>
    <t>GERENTE TECNICO</t>
  </si>
  <si>
    <t>MARIA SOLANO MORERA</t>
  </si>
  <si>
    <t>8416-9690</t>
  </si>
  <si>
    <t>500M NORTE DE LA FABRICA GERBER, GUADALUPE/ ARENILLA, INSTALACIONES GRUPO GRENNER</t>
  </si>
  <si>
    <t>facturas.tscr@gmail.com</t>
  </si>
  <si>
    <t>L-V 7:30a.m. - 2:30p.m.</t>
  </si>
  <si>
    <t>Sistemas de Pesaje Sipesa de Costa Rica S.R.L</t>
  </si>
  <si>
    <t>Sistemas de Pesaje Sipesa de Costa Rica Sociedad de Responsabilidad Limitada</t>
  </si>
  <si>
    <t>LC-199</t>
  </si>
  <si>
    <t>Moises Abraham Castellanos Jerez</t>
  </si>
  <si>
    <t>MCastellanos@disagro.com</t>
  </si>
  <si>
    <t>jpiedrahita@disagro.com</t>
  </si>
  <si>
    <t>4040-0071</t>
  </si>
  <si>
    <t>San José, Ururca, Alborada, Transversal 76, 150 metro sureste aviación civil, Edificio Disagro</t>
  </si>
  <si>
    <t>3-102-798-863</t>
  </si>
  <si>
    <t>Julio Hernando Piedrahita Hoyos</t>
  </si>
  <si>
    <t>AQ315550</t>
  </si>
  <si>
    <t>Ingeniero de Procesos</t>
  </si>
  <si>
    <t xml:space="preserve">Gerardo Lopez </t>
  </si>
  <si>
    <t>gelopez@disagro.com</t>
  </si>
  <si>
    <t>L-V 7:30a.m. - 4:30p.m.</t>
  </si>
  <si>
    <t>Disagro</t>
  </si>
  <si>
    <t>BA&amp;CO</t>
  </si>
  <si>
    <t>BARBOZA Y CONSULTORES SOCIEDAD ANONIMA</t>
  </si>
  <si>
    <t>LE-200</t>
  </si>
  <si>
    <t>A01: 28/07/2025</t>
  </si>
  <si>
    <t>Wendolyn Fallas Ureña</t>
  </si>
  <si>
    <t>info@bacolab.com</t>
  </si>
  <si>
    <t>2230-0907</t>
  </si>
  <si>
    <t>Aserrí, Acosta, Barrio Cementerio, oficinas a mano derecha, calle sin salida</t>
  </si>
  <si>
    <t>3-101-740-432</t>
  </si>
  <si>
    <t>www.bacolab.com</t>
  </si>
  <si>
    <t>Jonathan Barboza Segura</t>
  </si>
  <si>
    <t>1-1113-0122</t>
  </si>
  <si>
    <t>Gerente administrativa/gestoría de calidad</t>
  </si>
  <si>
    <t>Administrativo</t>
  </si>
  <si>
    <t>8447-3849</t>
  </si>
  <si>
    <t>L- V 8:00 am a 4:00 pm</t>
  </si>
  <si>
    <t>LABORATORIO DE ESTUFAS TyP</t>
  </si>
  <si>
    <t>CONTROLADORA MABE S. A. DE C.V.</t>
  </si>
  <si>
    <t>LE-201</t>
  </si>
  <si>
    <t>Enrique Gutiérrez Jiménez</t>
  </si>
  <si>
    <t>enrique.gutierrez@mabe.com.mx</t>
  </si>
  <si>
    <t>luis.molina@mabe.com.mx</t>
  </si>
  <si>
    <t>52 442 211 4903</t>
  </si>
  <si>
    <t>Av. Palmas 100 Col. Lomas de Chapultepec, Delegación Miguel Hidalgo, México, D.F.</t>
  </si>
  <si>
    <t>México, D.F.</t>
  </si>
  <si>
    <t>CMA811126AW9</t>
  </si>
  <si>
    <t>na</t>
  </si>
  <si>
    <t>Claudia Gabriela González Gaytán</t>
  </si>
  <si>
    <t>G23667641</t>
  </si>
  <si>
    <t>Licenciatura en derecho</t>
  </si>
  <si>
    <t>Avenida de las Palmas 215, piso 7 Lomas de Chapultepec, Miguel Hidalgo, C.P.11000, Ciudad de México.</t>
  </si>
  <si>
    <t>claudia.gonzalez@mabe.com.mx</t>
  </si>
  <si>
    <t>Apoderada de “CONTROLADORA MABE, S.A. DE C.V.”</t>
  </si>
  <si>
    <t>CONTROLADORA MABE</t>
  </si>
  <si>
    <t>52 442327 6337</t>
  </si>
  <si>
    <t>Enrique.Gutierrez@mabe.com.mx</t>
  </si>
  <si>
    <t>L- V 09:00 A 5:00 PM</t>
  </si>
  <si>
    <t>Juturna S. A</t>
  </si>
  <si>
    <t>LE-202</t>
  </si>
  <si>
    <t>Eric Goñi Vindas</t>
  </si>
  <si>
    <t>info@waterlab.com</t>
  </si>
  <si>
    <t>egoni@juturna.com</t>
  </si>
  <si>
    <t>2282-0770</t>
  </si>
  <si>
    <t>Alajuela, San José de Alajuela, El Coyol, Parque Empresarial Multiplx, edificio M15 Empresa Juturna</t>
  </si>
  <si>
    <t>3-101-561735</t>
  </si>
  <si>
    <t>https://juturna.cr/</t>
  </si>
  <si>
    <t>Facturacion/Credito y cobro JUTURNA</t>
  </si>
  <si>
    <t>Katherine Madrigal/ Jean Paul Aguilar</t>
  </si>
  <si>
    <t>ar@juturna.com; jaguilar@juturna.com</t>
  </si>
  <si>
    <t>Lunes a viernes de 7 am a 5pm</t>
  </si>
  <si>
    <t>Juturna</t>
  </si>
  <si>
    <t>MERCASID S. A.</t>
  </si>
  <si>
    <t>LE-203</t>
  </si>
  <si>
    <t>No aplica, era visita preliminar</t>
  </si>
  <si>
    <t>No han enviado el ECA-MP-P04-F34, el contrato firmado es para una visita preliminar, en caso de que quieran acreditarse, deben firmar contrato para la acreditación y remitir el ECA-MP-P04-F34 lleno, también deben firmar compromiso de acreditación</t>
  </si>
  <si>
    <t>Romanas Lumagre, S.A.</t>
  </si>
  <si>
    <t>LC-204</t>
  </si>
  <si>
    <t>Jessica Chaves</t>
  </si>
  <si>
    <t xml:space="preserve">jchaves@romanaslumagre.com </t>
  </si>
  <si>
    <t>2101-3907</t>
  </si>
  <si>
    <t>San José, Zapote, De la Purdy Motor 125 metros al este, Local color cafe esquinero.</t>
  </si>
  <si>
    <t>3-101-785894</t>
  </si>
  <si>
    <t>www.romanaslumagre.com</t>
  </si>
  <si>
    <t>Juan Carlos Ledezma Godinez</t>
  </si>
  <si>
    <t>1-1009-0443</t>
  </si>
  <si>
    <t>jchaves@romanaslumagre.com</t>
  </si>
  <si>
    <t>Joselyn Alfaro Chinchilla</t>
  </si>
  <si>
    <t>jchinchilla@romanaslumagre.com</t>
  </si>
  <si>
    <t>De Lunes a Viernes de 8 00 am a 5 00 pm</t>
  </si>
  <si>
    <t>Mat-Tech Ingeniería y Ciencia de Materiales</t>
  </si>
  <si>
    <t>MATTECH SOCIEDAD ANONIMA</t>
  </si>
  <si>
    <t>LE-205</t>
  </si>
  <si>
    <t xml:space="preserve">José Luis Loría Alvarez </t>
  </si>
  <si>
    <t>j.loria01@hotmail.com</t>
  </si>
  <si>
    <t>info@mat-tech.cr</t>
  </si>
  <si>
    <t>8364-6555 / 2592-1212</t>
  </si>
  <si>
    <t>Costa Rica, Heredia, Belén, San Antonio, frente a Colegio CIT, del Más x Menos de Belén, 200 metros al Norte y 200 metros al Este</t>
  </si>
  <si>
    <t>www.mat-tech.cr</t>
  </si>
  <si>
    <t>Luis Guillermo Loría Salazar</t>
  </si>
  <si>
    <t>Frente a Colegio CIT, San Antonio de Belén, De Mas x Menos Belen 200 al Norte y 200 al Este</t>
  </si>
  <si>
    <t>gerentegeneral@mat-tech.cr</t>
  </si>
  <si>
    <t>Administración</t>
  </si>
  <si>
    <t>Kevin David Monge  Hidalgo</t>
  </si>
  <si>
    <t>Frente a Colegio CIT San Antonio de Belén</t>
  </si>
  <si>
    <t>7 am a 5 pm de Lunes a viernes</t>
  </si>
  <si>
    <t>VAPENSA</t>
  </si>
  <si>
    <t xml:space="preserve">Vapor y Enfriamiento S.A. </t>
  </si>
  <si>
    <t>LE-206</t>
  </si>
  <si>
    <t>Lauryn Alfaro Rodríguez</t>
  </si>
  <si>
    <t>lalfaro@vapensa.com</t>
  </si>
  <si>
    <t>info@vapensa.com</t>
  </si>
  <si>
    <t>2442-4900 ext. 110</t>
  </si>
  <si>
    <t>Alajuela, San Antonio del Tejar, del Aeropuerto Internacional Juan Santa María 1.5 Km al Oeste. Bodegas color naranja con azul.</t>
  </si>
  <si>
    <t>www.vapensa.com</t>
  </si>
  <si>
    <t>Fernando Naranjo Madrigal</t>
  </si>
  <si>
    <t>1-0473-0064</t>
  </si>
  <si>
    <t>Ingeniero Mecánico</t>
  </si>
  <si>
    <t>Del Aeropuerto Internacional Juan Santa María 1.5 Km al Oeste. Bodegas color naranja con azul.</t>
  </si>
  <si>
    <t>fnaranjo@vapensa.com</t>
  </si>
  <si>
    <t>Henry Rojas Arias</t>
  </si>
  <si>
    <t>2442-4900 ext. 120</t>
  </si>
  <si>
    <t>facturas@vapensa.com</t>
  </si>
  <si>
    <t>8:00a.m. a 5:00p.m.</t>
  </si>
  <si>
    <t>LE-207</t>
  </si>
  <si>
    <t>Mariany Pacheco</t>
  </si>
  <si>
    <t>m.pacheco@mercasid.com.do</t>
  </si>
  <si>
    <t>claudia.rodriguez@gruposid.com.do</t>
  </si>
  <si>
    <t>809-565-2151</t>
  </si>
  <si>
    <t>Av. Máximo Gómez No. 182, Ensanche La Fe, Santo Domingo, D, N 10514</t>
  </si>
  <si>
    <t>1-01-80768-7 (RNC)</t>
  </si>
  <si>
    <t>mercasid.com.do</t>
  </si>
  <si>
    <t>Jordi Portet Jover</t>
  </si>
  <si>
    <t>001-1098198-2</t>
  </si>
  <si>
    <t>Empleado privado</t>
  </si>
  <si>
    <t>claudia.rodriguez@gruposid.com.do; m.pacheco@mercasid.com.do</t>
  </si>
  <si>
    <t>Vicepresidente Corporativo de Finanzas</t>
  </si>
  <si>
    <t>Gerencia corporativa de compras</t>
  </si>
  <si>
    <t>Juan Carlos Reyes</t>
  </si>
  <si>
    <t>829-342-4945 / 809-565-2151, extensión 1161</t>
  </si>
  <si>
    <t>no inidcado</t>
  </si>
  <si>
    <t>8:00 am a 5:00 pm Hora República Dominicana</t>
  </si>
  <si>
    <t>MERCASID S.A</t>
  </si>
  <si>
    <t>Romanas B&amp;B SRL</t>
  </si>
  <si>
    <t>3102872112 SRL</t>
  </si>
  <si>
    <t>LC-208</t>
  </si>
  <si>
    <t>calidad@romanasbyb.com</t>
  </si>
  <si>
    <t>administracion@romanasbyb.com</t>
  </si>
  <si>
    <t>4000-1816</t>
  </si>
  <si>
    <t>Santa Rosa de Santo Domingo de Heredia, Barrio San Martín, calle La Rinconada, de la Soda Soyla 50 metros sur, última bodega a mano derecha</t>
  </si>
  <si>
    <t>no indica</t>
  </si>
  <si>
    <t>José María Acuña Arana</t>
  </si>
  <si>
    <t>1-0616-0095</t>
  </si>
  <si>
    <t>No inidca (gerente)</t>
  </si>
  <si>
    <t>Santa Rosa de Santo Domingo de Heredia, Barrio San Martín, calle La Rinconada, de la Soda Soyla 50 metros sur, última bodega a mano derecha.</t>
  </si>
  <si>
    <t>mantenimiento@romanasbyb.com</t>
  </si>
  <si>
    <t>Gerente de Mantenimiento</t>
  </si>
  <si>
    <t>Dariana Michel Blandón Garro</t>
  </si>
  <si>
    <t>contabilidad@romanasbyb.com</t>
  </si>
  <si>
    <t>Lunes de 7:30 am a 5:30 pm, Martes a viernes de 7:30 am a 5:00 pm</t>
  </si>
  <si>
    <t>Centro de Recursos Hídricos para Centroamérica y el Caribe HIDROCEC-UNA</t>
  </si>
  <si>
    <t>LE-209</t>
  </si>
  <si>
    <t>María Teresa López Maietta</t>
  </si>
  <si>
    <t>maria.lopez.maietta@una.cr</t>
  </si>
  <si>
    <t>andrea.suarez.serrano@una.cr, hidrocec@una.cr</t>
  </si>
  <si>
    <t>2562-6287</t>
  </si>
  <si>
    <t>400 metros al sur del Colegio Técnico Profesional de Liberia. Barrio Capulin, Liberia, Guanacaste</t>
  </si>
  <si>
    <t>Costa Rica, Heredia, Heredia, campus central de la Universidad Nacional.</t>
  </si>
  <si>
    <t>Vicerrectoría de Investigación</t>
  </si>
  <si>
    <t>Universidad Nacional</t>
  </si>
  <si>
    <t>2277-3570</t>
  </si>
  <si>
    <t>25 metros de la BK en Heredia. Calle 9, avenida 0 y 1. Heredia, Costa Rica</t>
  </si>
  <si>
    <t>facturaelectronica@una.cr / investigacion@una.cr</t>
  </si>
  <si>
    <t>Laboratorio de análisis y servicios químicos, LASEQ</t>
  </si>
  <si>
    <t>LE-210</t>
  </si>
  <si>
    <t>Dr. José Ángel Rodríguez Corrales</t>
  </si>
  <si>
    <t>jose.rodriguez.corrales@una.cr</t>
  </si>
  <si>
    <t>laseq.una@gmail.com</t>
  </si>
  <si>
    <t>2277-3356</t>
  </si>
  <si>
    <t>Costa Rica, Heredia, Calle 9, avenida 0 y 1. Universidad Nacional, Campus Omar Dengo</t>
  </si>
  <si>
    <t>www.rectoria.una.ac.cr
www.quimica.una.ac.cr/index.php/inicio-laseq</t>
  </si>
  <si>
    <t>Laboratorios del IRET (LAREP/ECOTOX) de la Universidad Nacional</t>
  </si>
  <si>
    <t>LE-211</t>
  </si>
  <si>
    <t>Msc. Clemens Ruepert</t>
  </si>
  <si>
    <t xml:space="preserve">iret@una.cr
</t>
  </si>
  <si>
    <t>clemens.ruepert@una.cr; andrea.corrales.vargas@una.cr</t>
  </si>
  <si>
    <t xml:space="preserve">2277-3584 </t>
  </si>
  <si>
    <t>https://www.iret.una.ac.cr/index.php/es/</t>
  </si>
  <si>
    <t>Laboratorio de Análisis de Suelos y Foliares, LASAF</t>
  </si>
  <si>
    <t>LE-212</t>
  </si>
  <si>
    <t>Mag. Diana Mora Campos</t>
  </si>
  <si>
    <t>diana.mora.campos@una.cr</t>
  </si>
  <si>
    <t>lasaf@una.cr</t>
  </si>
  <si>
    <t>2562-4620</t>
  </si>
  <si>
    <t>Heredia, Barva, Santa Lucía, Barrio Carbonal, Calle el Pedregal. De la plaza de Deportes de Santa Lucía de Barva de Heredia 600 metros Este.</t>
  </si>
  <si>
    <t>https://www.inisefor.una.ac.cr/</t>
  </si>
  <si>
    <t>LE-213</t>
  </si>
  <si>
    <t>Priscila Chavez Arias</t>
  </si>
  <si>
    <t>priscila.chaves@numar.net</t>
  </si>
  <si>
    <t>rarevalo@numar.net</t>
  </si>
  <si>
    <t>2284-1000 ext 1106</t>
  </si>
  <si>
    <t>San José, San José, Hospital, Barrio Cuba, de la iglesia Medalla Milagrosa 50 metros al oeste.</t>
  </si>
  <si>
    <t>3-101-173-639</t>
  </si>
  <si>
    <t>https://gruponumar.com/</t>
  </si>
  <si>
    <t>Ernesto Blanco Arias</t>
  </si>
  <si>
    <t>1-1396-0591</t>
  </si>
  <si>
    <t>San José, San José, Hospital, Barrio Cuba, Calle 22-24 Avenida 12, diagonal 24, de la iglesia Medalla Milagrosa 50 metros al oeste.</t>
  </si>
  <si>
    <t>eblanco@numar.net</t>
  </si>
  <si>
    <t>Gerente de división</t>
  </si>
  <si>
    <t>Jessenia Espinoza Esquivel</t>
  </si>
  <si>
    <t>San José, San José, Hospital, Barrio Cuba, Calle 22-24 Avenida 12, frente a la Clínica Moreno Cañas.</t>
  </si>
  <si>
    <t>facturas@grupo numar.net  / jespinoza@numar.net</t>
  </si>
  <si>
    <t>L-V de 7:30 a.m. a 5:00 p.m.</t>
  </si>
  <si>
    <t>Concretos Arroyo S.A.</t>
  </si>
  <si>
    <t>LE-214</t>
  </si>
  <si>
    <t>calidad@gaconcretosarroyo.com</t>
  </si>
  <si>
    <t>enoc@gaconcretosarroyo.com</t>
  </si>
  <si>
    <t>No indicó</t>
  </si>
  <si>
    <t>Alajuela, El Coyol, instalaciones de H y M.</t>
  </si>
  <si>
    <t>3-101-467-001</t>
  </si>
  <si>
    <t>Seily Elena Arroyo Vargas</t>
  </si>
  <si>
    <t>1-0973-0725</t>
  </si>
  <si>
    <t>Médico</t>
  </si>
  <si>
    <t>Costa Rica, Alajuela, Orotina, El mastate, La Aurora, 150 metros noreste de la pulpería La Aurora, segunda casa a mano izquierda color terracota.</t>
  </si>
  <si>
    <t>SEILYELENA@YAHOO.COM</t>
  </si>
  <si>
    <t>Administradora</t>
  </si>
  <si>
    <t>L-V de 8:00 a 5:00</t>
  </si>
  <si>
    <t>Laboratorio de Calidad Latín América AGRIALIM S.A.</t>
  </si>
  <si>
    <t>LE-215</t>
  </si>
  <si>
    <t>Adolfo Noe Morera Rodriguez</t>
  </si>
  <si>
    <t>adolfo.morera@agrialim.net</t>
  </si>
  <si>
    <t>carlos.tamayo@agrialim.net</t>
  </si>
  <si>
    <t>2777-8284</t>
  </si>
  <si>
    <t>Puntarenas, Parrita, Parrita, Palo Seco, Ruta 34, Del puente Sobre el Río Parrita, 3,5 Km sureste.</t>
  </si>
  <si>
    <t>3-101-649-136</t>
  </si>
  <si>
    <t>Julian Andres Sanabria Delgado</t>
  </si>
  <si>
    <t>DIMEX 117002652432</t>
  </si>
  <si>
    <t>Colombiano</t>
  </si>
  <si>
    <t>adolfo.morera@agrialim.net
 carlos.tamayo@agrialim.net</t>
  </si>
  <si>
    <t>Gerente de Planta</t>
  </si>
  <si>
    <t>Departamento de Facturación y Cobro</t>
  </si>
  <si>
    <t>Kevin Villagra / Adolfo Noe Morera</t>
  </si>
  <si>
    <t>2777-8217</t>
  </si>
  <si>
    <t>recepcion@agrialim.net
kvillagra@agrialim.net
adolfo.morera@agrialim.net</t>
  </si>
  <si>
    <t>L-V de 6:30 am a 4:00 pm</t>
  </si>
  <si>
    <t>Multi Romanas Panamá Inc</t>
  </si>
  <si>
    <t>LC-216</t>
  </si>
  <si>
    <t>Alexander Aguilar Boniche</t>
  </si>
  <si>
    <t>alexanderaguilar@multiromanas.com</t>
  </si>
  <si>
    <t>metrologia@multiromanas.com</t>
  </si>
  <si>
    <t>Panamá, Veraguas, Canto del Llano, Santiago, La Esmeralda, Calle 8ta final, Casa color Blanca, diagonal a Esthetics Place Gym.</t>
  </si>
  <si>
    <t>Veraguas</t>
  </si>
  <si>
    <t>19-977-588-139-672</t>
  </si>
  <si>
    <t>www.multiromanas.com</t>
  </si>
  <si>
    <t>Richard Pretto Garcia</t>
  </si>
  <si>
    <t>PE-844</t>
  </si>
  <si>
    <t>Panameño Extrajero</t>
  </si>
  <si>
    <t>Panamá, Panamá, Panamá, PH Costa Mares, Apartamento 18041.</t>
  </si>
  <si>
    <t>richardpretto@multiromanas.com</t>
  </si>
  <si>
    <t xml:space="preserve">Alta Dirección </t>
  </si>
  <si>
    <t>Luis Powell</t>
  </si>
  <si>
    <t>(507) 6937-6263</t>
  </si>
  <si>
    <t>luispowell@multiromanas.com</t>
  </si>
  <si>
    <t>GEOINTEGRA</t>
  </si>
  <si>
    <t>3-102-878569 SRL</t>
  </si>
  <si>
    <t>LE-217</t>
  </si>
  <si>
    <t>info@geointegracr.com</t>
  </si>
  <si>
    <t>calidad@geointegracr.com</t>
  </si>
  <si>
    <t>8746-0652</t>
  </si>
  <si>
    <t>Costa Rica, San José, Pavas. Diagonal al Plantel del ICE Pavas, Parque Empresarial del Oeste, Local 5.</t>
  </si>
  <si>
    <t>3-102-878-569</t>
  </si>
  <si>
    <t>Jorge Vega Domínguez</t>
  </si>
  <si>
    <t>8-0095-0591</t>
  </si>
  <si>
    <t>Informático</t>
  </si>
  <si>
    <t>Costa Rica, Alajuela, San Rafael, Cond Paso Real, Apto A-63, Alrededores de la Reforma.</t>
  </si>
  <si>
    <t>jvega@geointegracr.com</t>
  </si>
  <si>
    <t>Asesor Técnico de Campo</t>
  </si>
  <si>
    <t>Melannie Aguirre</t>
  </si>
  <si>
    <t>recepcion@geointegracr.com</t>
  </si>
  <si>
    <t>Lunes a Viernes 7:00am a 5:00pm</t>
  </si>
  <si>
    <t>Laboratorio de Asesorías Geotec S.A</t>
  </si>
  <si>
    <t>Asesorias Geotec S.A</t>
  </si>
  <si>
    <t>LE-218</t>
  </si>
  <si>
    <t>gestorcalidad@geotec.cr</t>
  </si>
  <si>
    <t>notificaciones@geotec.cr</t>
  </si>
  <si>
    <t>Costa Rica, Alajuela, Grecia, Calle Carmona, Urbanización la Esmeralda, 2da entrada, 75 m sur.</t>
  </si>
  <si>
    <t>www.geotec.cr</t>
  </si>
  <si>
    <t>Francisco Rojas Quesada</t>
  </si>
  <si>
    <t xml:space="preserve">gestorcalidad@geotec.cr; notificaciones@geotec.cr </t>
  </si>
  <si>
    <t>Propietario</t>
  </si>
  <si>
    <t>Jessica Álvarez Hernández</t>
  </si>
  <si>
    <t>24950505 ext 1017</t>
  </si>
  <si>
    <t>facturacionelectronica@geotec.cr</t>
  </si>
  <si>
    <t>Simbología:</t>
  </si>
  <si>
    <t>Acreditado</t>
  </si>
  <si>
    <t>Suspendido</t>
  </si>
  <si>
    <t>Retirado</t>
  </si>
  <si>
    <t>Acreditado - con Suspensiones</t>
  </si>
  <si>
    <t>No se acreditó</t>
  </si>
  <si>
    <t>Pendiente</t>
  </si>
  <si>
    <t>TI prueba</t>
  </si>
  <si>
    <t>AQG</t>
  </si>
  <si>
    <t>Cris</t>
  </si>
  <si>
    <t>c.rojas@eca.or.cr</t>
  </si>
  <si>
    <t>Norma de Referencia: INTE ISO/IEC 17020:2012 Evaluación de la conformidad. Requisitos para el funcionamiento de diferentes tipos de organismos que realizan la inspección.</t>
  </si>
  <si>
    <t>Nombre Representante ante ECA</t>
  </si>
  <si>
    <t>NombreRepresentante Legal</t>
  </si>
  <si>
    <t>Horario de atención</t>
  </si>
  <si>
    <t>Saybolt de Costa Rica S.A.</t>
  </si>
  <si>
    <t>OI</t>
  </si>
  <si>
    <t>OI-001</t>
  </si>
  <si>
    <t>saybolt.cr.ops@corelab.com; eduardo.aguero@corelab.com</t>
  </si>
  <si>
    <t>2290-4439 / 8880-7395</t>
  </si>
  <si>
    <t>2290-4680</t>
  </si>
  <si>
    <t>50m Sur UCIMED, Sabana Oeste. San José (contiguo al Restaurante Órale)</t>
  </si>
  <si>
    <t>OI-002</t>
  </si>
  <si>
    <t>Eduardo Agüero</t>
  </si>
  <si>
    <t>eduardo.aguero@corelab.com; saybolt.cr.ops@corelab.com</t>
  </si>
  <si>
    <t xml:space="preserve"> 2290-4680</t>
  </si>
  <si>
    <t>Intertek Testing Services Costa Rica, S.A</t>
  </si>
  <si>
    <t>OI-004</t>
  </si>
  <si>
    <t>Alexis Ayala Jurado</t>
  </si>
  <si>
    <t>alexis.ayala@intertek.com</t>
  </si>
  <si>
    <t>(507) 2329100</t>
  </si>
  <si>
    <t>(507) 22325002</t>
  </si>
  <si>
    <t>Zona Procesadora de Exportacion Albrrok, Edificio No 6</t>
  </si>
  <si>
    <t>3-101-255234</t>
  </si>
  <si>
    <t>www.intertek.com</t>
  </si>
  <si>
    <t>Pasaporte No 1768706</t>
  </si>
  <si>
    <t>Quimico</t>
  </si>
  <si>
    <t>De la Estacion de Bomberos Barrio Lujan 100 Oeste, 15 Sur Edificio Jimenez Barletta, 3er Piso</t>
  </si>
  <si>
    <t>Yamilette Camacho Cantillo</t>
  </si>
  <si>
    <t xml:space="preserve">Intertek Testing Services Costa Rica S.A. </t>
  </si>
  <si>
    <t>(506) 22564663</t>
  </si>
  <si>
    <t>yamilette.camacho@intertek.com</t>
  </si>
  <si>
    <t>Lunea a Viernes de 8:00 a 5:00</t>
  </si>
  <si>
    <t xml:space="preserve"> Retiro de acreditación a partir del 08.04.2014, suspensión voluntaria total del alcance por 6 meses del 26.11.2013 al 13.08.2014</t>
  </si>
  <si>
    <t>AMSPEC Costa Rica S. A</t>
  </si>
  <si>
    <t>OI-006</t>
  </si>
  <si>
    <t>OI-004-A01</t>
  </si>
  <si>
    <t>Patricia Montenegro Ortega</t>
  </si>
  <si>
    <t>patricia.montenegro@amspecgroup.com</t>
  </si>
  <si>
    <t>enrique.wong@amspecgroup.com</t>
  </si>
  <si>
    <t>2225-2609</t>
  </si>
  <si>
    <t>San José, Avenida 10 y 12, calle 37, Urbanización Los Yoses, San Pedro
de Montes de Oca, de la tercera entrada de los Yoses trescientos metros al sur,
cien metros al Oeste y cincuenta metros al Norte./Limón, 200 metros norte del Hotel Cocori, Playa Bonita.</t>
  </si>
  <si>
    <t>3-101-378451</t>
  </si>
  <si>
    <t xml:space="preserve">www.amspecgroup.com </t>
  </si>
  <si>
    <t xml:space="preserve">Enrique Wong Ching </t>
  </si>
  <si>
    <t>1-953-987</t>
  </si>
  <si>
    <t>Ing. Industrial</t>
  </si>
  <si>
    <t>Alice Cerdas</t>
  </si>
  <si>
    <t>OIL TEST INTERNATIONAL (OTI COSTA RICA) S.A.</t>
  </si>
  <si>
    <t>alice.cerdas@amspecgroup.com</t>
  </si>
  <si>
    <t>8:00am - 5:00pm</t>
  </si>
  <si>
    <t>AmSpec Group</t>
  </si>
  <si>
    <t>OTI Costa Rica ha sido adquirido por AmSpec Group
La transición de OTI a AmSpec se realizará en varias fases por lo que su primera fase es el cambio de correos electrónicos los cuales tendrán terminación @amspecgroup.com , y de forma paulatina el resto de los cambios se irán realizando, sin afectar ningún servicio ni comunicación con todos nuestros clientes.</t>
  </si>
  <si>
    <t>Organismo de Inspección Compañía Asesora de Construcción e Ingeniería, CACISA</t>
  </si>
  <si>
    <t xml:space="preserve">Compañía Asesora de Construcción e Ingeniería CACISA S.A </t>
  </si>
  <si>
    <t>OI-007</t>
  </si>
  <si>
    <t>OI-005</t>
  </si>
  <si>
    <t>A01, A02, A04: 23/07/2024</t>
  </si>
  <si>
    <t>Heredia, de la iglesia de Santa Rosa, 200 metros oeste y 750 metros norte, Santo Domingo.</t>
  </si>
  <si>
    <t>www.cacisa.cr</t>
  </si>
  <si>
    <t>Heredia, de la iglesia de Santa Rosa, 200 oeste y 750 norte, Santo Domingo.</t>
  </si>
  <si>
    <t>Reducción del alcance el 10.12.2013 para las inspecciones de Movimientos de Tierra en un Proyecto de Supervisión específicamente las siguientes actividades:
E5.  Excavación con explosivos, E8.  Conformación del Subrasante, E10.  Conformación de caminos existentes, II-5.4-19 Barreras de hormigón y guardacaminos, II-5.4-21 Señales verticales de tránsito y postes de kilometraje.</t>
  </si>
  <si>
    <t>Riteve SyC, S.A</t>
  </si>
  <si>
    <t>OI-009</t>
  </si>
  <si>
    <t>OI-009-A01</t>
  </si>
  <si>
    <t>Viviana Delgado Soto</t>
  </si>
  <si>
    <t>vdelgado@rtv.co.cr</t>
  </si>
  <si>
    <t>gjimenez@rtv.co.cr</t>
  </si>
  <si>
    <t>2209-2034/8840-3970</t>
  </si>
  <si>
    <t>2209-2001</t>
  </si>
  <si>
    <t>Heredia, 100 metros Este de Bomba Texaco, Lagunilla.</t>
  </si>
  <si>
    <t>3-101-286493</t>
  </si>
  <si>
    <t>Pualo Valverde Tristán</t>
  </si>
  <si>
    <t>1-0723-0645</t>
  </si>
  <si>
    <t>Ingeniero industrial</t>
  </si>
  <si>
    <t>Heredia, 100 Este de Bomba Texaco, Lagunilla.</t>
  </si>
  <si>
    <t>Wendy Rojas</t>
  </si>
  <si>
    <t>2209-2020</t>
  </si>
  <si>
    <t>8:00 a.m. a 5:30 p,m.</t>
  </si>
  <si>
    <t>Retiro de la acreditación mediante acuerdo ECA-CA-2023-234 notificado el 16/10/23</t>
  </si>
  <si>
    <t>Ileana Aguilar Ingeniería y Administración S.A, IAA</t>
  </si>
  <si>
    <t xml:space="preserve">Ileana Aguilar Ingeniería y Administración Sociedad Anónima </t>
  </si>
  <si>
    <t>OI-010</t>
  </si>
  <si>
    <t>A01: 27/09/2011
A02: 25/09/2013
A03: 27/10/2015
A04: 15/11/2017
A05: 20/12/2017
A06: 30/05/2018
A07: 07/04/2025</t>
  </si>
  <si>
    <t>Ing. Luis Arturo Chavarría Blanco</t>
  </si>
  <si>
    <t>calidad@iaacr.com</t>
  </si>
  <si>
    <t>iaguilar@iaacr.com</t>
  </si>
  <si>
    <t>2460-0217</t>
  </si>
  <si>
    <t>Barrio San Antonio, 250 metros Norte y 200 metros Oeste del Hogar de Ancianos, Ciudad Quesada, San Carlos.</t>
  </si>
  <si>
    <t>3-101-543051</t>
  </si>
  <si>
    <t>www.iaacr.com</t>
  </si>
  <si>
    <t>lleana Aguilar Aguilar</t>
  </si>
  <si>
    <t>1-0880-0756</t>
  </si>
  <si>
    <t>Alajuela, 300 suroeste de la plaza de deportes, Florencia de San Carlos.</t>
  </si>
  <si>
    <t>Ingeniero de Proyecto, Gerente General, Responsable del Sistema de Gestión de Calidad</t>
  </si>
  <si>
    <t>Tatiana Zúñiga Rojas</t>
  </si>
  <si>
    <t>2460-8661</t>
  </si>
  <si>
    <t>Alajuela, 400 norte de la esquina noroeste del mercado municipal de Ciudad Quesada, diagonal a Coopenae, en los altos de la Agencia de Viajes San Carlos.</t>
  </si>
  <si>
    <t>2460-8420</t>
  </si>
  <si>
    <t>tzuniga@iaacr.com</t>
  </si>
  <si>
    <t>8:00 am a 5:00 pm de lunes a viernes</t>
  </si>
  <si>
    <t>Todos los correos se deben enviar con copia Jefrey López</t>
  </si>
  <si>
    <t>M.S.D Consultores y Constructores, S. A</t>
  </si>
  <si>
    <t>M.S.D Consultores y Constructores Sociedad Anónima</t>
  </si>
  <si>
    <t>OI-011</t>
  </si>
  <si>
    <t>OI-008</t>
  </si>
  <si>
    <t>OI-008-A01 / OI-008-A02  / OI-008-A03 / OI-008-A04/ OI-008-A05</t>
  </si>
  <si>
    <t>gc@msdcyc.com; msoto@msdcyc.com</t>
  </si>
  <si>
    <t xml:space="preserve">msoto@msdcyc.com /msd.soto@yahoo.com </t>
  </si>
  <si>
    <t>4080-6056</t>
  </si>
  <si>
    <t>San José, Urbanización El Prado, Lote 14, del Archivo Nacional 200 metros este, casa de dos plantas color amarillo, frente a Ruta Nacional n° 11807</t>
  </si>
  <si>
    <t>3-101-549128</t>
  </si>
  <si>
    <t xml:space="preserve">www.msdcyc.com </t>
  </si>
  <si>
    <t>Margarita Soto Durán</t>
  </si>
  <si>
    <t>2-456-795</t>
  </si>
  <si>
    <t>Gerente e Ingeniera de Proyecto</t>
  </si>
  <si>
    <t>San José, Curridabat, Residencial El Prado, 200 metros este del Archivo Nacional.</t>
  </si>
  <si>
    <t>2286-5983</t>
  </si>
  <si>
    <t>contabilidad@msdcyc.com</t>
  </si>
  <si>
    <t>De 7:00 a.m. a 5:00 p.m.</t>
  </si>
  <si>
    <t>Consultora y Ejecutora SALASA S.A</t>
  </si>
  <si>
    <t>Consultora y Ejecutora Salasa S.A.</t>
  </si>
  <si>
    <t>OI-012</t>
  </si>
  <si>
    <t>OI-009-A01 / OI-009-A02 / OI-009-A03/  OI-009-A04/  OI-009-A05, OI-009-A06, OI-009-A07</t>
  </si>
  <si>
    <t xml:space="preserve">Jorge Salazar Gonzalez </t>
  </si>
  <si>
    <t>Gestion.Calidad@salasa.co.cr; jsalazar@salasa.co.cr</t>
  </si>
  <si>
    <t>4052-2850</t>
  </si>
  <si>
    <t>2296-1156</t>
  </si>
  <si>
    <t>Residencial Torres del Este Casa N° C-22, en San Juan de la Unión, Cartago (Entrando por Pasoca, y la entrada al Residencial está contiguo a la Escuela Villas de Ayarco)</t>
  </si>
  <si>
    <t>3-101-489684</t>
  </si>
  <si>
    <t>2-439-943</t>
  </si>
  <si>
    <t>San José, de la Iglesia Católica de San Diego 100 metros oeste, Edificio de tres Pisos, San Diego de Tres Ríos</t>
  </si>
  <si>
    <t>Jorge Salazar Gonzalez</t>
  </si>
  <si>
    <t>Consultora y Ejecutora SALASA S.A.</t>
  </si>
  <si>
    <t>2553-5286</t>
  </si>
  <si>
    <t xml:space="preserve"> salasa.factura@gmail.com; con copia a:  kmena@salasa.co.cr; gestión.calidad@salasa.co.cr</t>
  </si>
  <si>
    <t xml:space="preserve">8:00 am a 5:00 pm </t>
  </si>
  <si>
    <t>Grupo Roading Consulters S.A</t>
  </si>
  <si>
    <t>OI-013</t>
  </si>
  <si>
    <t>.</t>
  </si>
  <si>
    <t>Licda. Lucía Chaverri Morales</t>
  </si>
  <si>
    <t>lchaverri@gruporoading.com; jnunez@gruporoading.com</t>
  </si>
  <si>
    <t>2430-0245/8705-8265</t>
  </si>
  <si>
    <t>2430-0245</t>
  </si>
  <si>
    <t>Plaza Colonial, San Rafael de Escazú local  1-11b</t>
  </si>
  <si>
    <t>3-101-449436</t>
  </si>
  <si>
    <t>Construcciones Gutiérrez COGUSA S.A</t>
  </si>
  <si>
    <t xml:space="preserve">Construcciones Gutiérrez COGUSA Sociedad Anónima </t>
  </si>
  <si>
    <t>OI-014</t>
  </si>
  <si>
    <t>A01: 27/05/2024
A02: 28/02/2018
A03: 13/09/2022
A04: 20/10/2023
A05: 15/10/2024
A06: 14/07/2025</t>
  </si>
  <si>
    <t>Victor Manuel Gutiérrez Bustos/Marjorie Acuña Vargas</t>
  </si>
  <si>
    <t>sistema-calidad@cogusa-cr.net</t>
  </si>
  <si>
    <t>Usar este para el usuario en sitio web:
info@cogusa-cr.net </t>
  </si>
  <si>
    <t>2551-1403 / 2551-0562</t>
  </si>
  <si>
    <t>Cartago Centro, 20m Sur del Museo Municipal de Cartago 200m Norte de las Ruinas de Cartago.</t>
  </si>
  <si>
    <t>3-101-343608</t>
  </si>
  <si>
    <t>Víctor Manuel Gutiérrez Bustos</t>
  </si>
  <si>
    <t>1-0701-0765</t>
  </si>
  <si>
    <t>Marjorie Acuña Vargas</t>
  </si>
  <si>
    <t>2795-0615/ 8718-7950</t>
  </si>
  <si>
    <t>2795-0568  </t>
  </si>
  <si>
    <t>sistema-calidad@cogusacr.com; info@cogusacr.com</t>
  </si>
  <si>
    <t>De Lunes a Viernes de 8:00:am a 5:00:pm</t>
  </si>
  <si>
    <t>Inversiones Rivera Segura S.A, IRSSA</t>
  </si>
  <si>
    <t>Inversiones Rivera Segura Sociedad Anónima</t>
  </si>
  <si>
    <t>OI-015</t>
  </si>
  <si>
    <t>OI-012-A01 / OI-012-A02  / OI-012-A03   / OI-012-A04 / OI-012-A05</t>
  </si>
  <si>
    <t>Yacare Montero, Carlos Rivera</t>
  </si>
  <si>
    <t>yacare.montero@irssa-cr.com; carlos.rivera@irssa-cr.com</t>
  </si>
  <si>
    <t xml:space="preserve">servicio.cliente@irssa-cr.com; </t>
  </si>
  <si>
    <t>Limón, Centro Comercial Nuevo Guápiles, local No. 5, Guápiles de Pococí</t>
  </si>
  <si>
    <t>3-101-464758</t>
  </si>
  <si>
    <t>Carlos Rivera Umaña</t>
  </si>
  <si>
    <t>Tatiana Enríquez Martínez</t>
  </si>
  <si>
    <t>servicio.cliente@irssa-cr.com; tatiana.enriquez@irssa-cr.com;</t>
  </si>
  <si>
    <t>L-V de 8:00 am a 5:00 pm</t>
  </si>
  <si>
    <t>Leitón Salas Consultores y Asociados S.A</t>
  </si>
  <si>
    <t>OI-016</t>
  </si>
  <si>
    <t>IGNACIO LEITON SALAS</t>
  </si>
  <si>
    <t>brenargentina@hotmail.com; leitonignacio@gmail.com; bmondragon@ilsconsultores.com</t>
  </si>
  <si>
    <t>8313-8719/6051-5061</t>
  </si>
  <si>
    <t>2214-6250</t>
  </si>
  <si>
    <t>Piedades de Santa Ana, Residencial La Caraña, casa NO. 3</t>
  </si>
  <si>
    <t>3-101-523499</t>
  </si>
  <si>
    <t xml:space="preserve">www.ilsconsultores.com  </t>
  </si>
  <si>
    <t>1-739-523</t>
  </si>
  <si>
    <t>CASADO</t>
  </si>
  <si>
    <t>COSTARRICENSE</t>
  </si>
  <si>
    <t>LIC. EN ING. CIVIL</t>
  </si>
  <si>
    <t>GERENTE GENERAL</t>
  </si>
  <si>
    <t>LEITON SALAS CONSULTORES Y ASOCIADOS S.A.</t>
  </si>
  <si>
    <t xml:space="preserve"> Retiro de acreditación a partir del 08.04.2014. Con suspensión voluntaria.  / Prorroga de suspensión voluntaria del 29.09.2013 al 27.12.2013</t>
  </si>
  <si>
    <t>Grupo Dedal, S.A.</t>
  </si>
  <si>
    <t>Grupo Dedal, Sociedad Anónima</t>
  </si>
  <si>
    <t>OI-017</t>
  </si>
  <si>
    <t>OI-013-A01 / OI-013-A02  / OI-013-A03 / OI-013-A04 / OI-013-A05</t>
  </si>
  <si>
    <t>Ing. Daniel Solís Carmona 
Cala Roversie Carmona</t>
  </si>
  <si>
    <t>grupodedal@gmail.com</t>
  </si>
  <si>
    <t xml:space="preserve">grupodedal@gmail.com ; kala16.rover@gmail.com; kala0616@hotmail.com </t>
  </si>
  <si>
    <t>2241-0390</t>
  </si>
  <si>
    <t>Princesa Marina en Moravia 100 Sur, Apartamentos Las
Torres #2 .</t>
  </si>
  <si>
    <t>3-101-556575</t>
  </si>
  <si>
    <t xml:space="preserve">Daniel Solís Carmona </t>
  </si>
  <si>
    <t>1-0753-0114</t>
  </si>
  <si>
    <t xml:space="preserve">Ing. Civil </t>
  </si>
  <si>
    <t xml:space="preserve">San José, del Rest. La Princesa Marina 100 S 100 O y 100 S casa #55, Moravia. </t>
  </si>
  <si>
    <t xml:space="preserve">Alejandra Roversie Carmona </t>
  </si>
  <si>
    <t xml:space="preserve">Grupo Dedal, S.A. </t>
  </si>
  <si>
    <t>2240-0390</t>
  </si>
  <si>
    <t xml:space="preserve">kala0616@hotmail.com; grupodedal@gmail.com; </t>
  </si>
  <si>
    <t xml:space="preserve"> 20.08.2013 Cambio de Tipo de A a C,                                     De 12 md a 1:30 pm cerrado por almuerzo
El OEC indica que el correo para notificaciones es kala0616@hotmail.com, mientras que el usuario al sitio web el OEC solicitó que se utilice el grupodedal@gmail.com</t>
  </si>
  <si>
    <t>Consultoría y Construcción en obras civiles Moreira S.A; CCOCIMO S.A.</t>
  </si>
  <si>
    <t xml:space="preserve">CCOCIMO Sociedad Anónima </t>
  </si>
  <si>
    <t>OI-018</t>
  </si>
  <si>
    <t>OI-014-A01 / OI-014-A02</t>
  </si>
  <si>
    <t>Lesmes Miranda Alvarado</t>
  </si>
  <si>
    <t xml:space="preserve">lmiranda@ccocimo.com </t>
  </si>
  <si>
    <t>2487-8724</t>
  </si>
  <si>
    <t>2441-9386</t>
  </si>
  <si>
    <t xml:space="preserve"> Alajuela, 225 metros este de la Fiesta del Maíz, La Garita</t>
  </si>
  <si>
    <t>3-101-551701</t>
  </si>
  <si>
    <t>Greivin Moreira Palma</t>
  </si>
  <si>
    <t xml:space="preserve"> 2 – 467 - 953</t>
  </si>
  <si>
    <t xml:space="preserve"> Alajuela, 225 m este de la Fiesta del Maíz, La Garita</t>
  </si>
  <si>
    <t>Gerente General / Ing de Proyecto Titular</t>
  </si>
  <si>
    <t xml:space="preserve">Marcella Alvarado Calderón </t>
  </si>
  <si>
    <t>CCOCIMO S.A</t>
  </si>
  <si>
    <t xml:space="preserve">facturas@ccocimo.com /malvarado@ccocimo.com </t>
  </si>
  <si>
    <t>8:00am / 5:00pm</t>
  </si>
  <si>
    <t>22.04.2014, cambio de tipo de "A" a "C"</t>
  </si>
  <si>
    <t>M.C.S Mauca Interamericana S.A.</t>
  </si>
  <si>
    <t xml:space="preserve">M.C.S Mauca Interamericana Sociedad Anónima </t>
  </si>
  <si>
    <t>OI-019</t>
  </si>
  <si>
    <t>OI-017-A01 / OI-017-A02 / OI-017-A03</t>
  </si>
  <si>
    <t>Mauricio Calvo Salazar/Alejandra Vargas</t>
  </si>
  <si>
    <t>maucalvo_cr@yahoo.com;  maucalvo@maucacr.com; calidadmauca@gmail.com</t>
  </si>
  <si>
    <t>2665-3419</t>
  </si>
  <si>
    <t>2666-9360</t>
  </si>
  <si>
    <t xml:space="preserve">Guanacaste, 100 metros sur del Scotiabank, Urbanización Malinche, Liberia </t>
  </si>
  <si>
    <t>3-101-556987</t>
  </si>
  <si>
    <t>Mauricio Calvo Salazar</t>
  </si>
  <si>
    <t>1-884-254</t>
  </si>
  <si>
    <t xml:space="preserve">Guanacaste, 100 sur del Scotiabank, Urbanización Malinche, Liberia </t>
  </si>
  <si>
    <t>Gerencia Técnica</t>
  </si>
  <si>
    <t>M.C.S. Mauca Interamericana S. A.</t>
  </si>
  <si>
    <t>maucalvo_cr@yahoo.com; maucalvo@mauca cr.com;</t>
  </si>
  <si>
    <t>8 a.m. a 5 p.m.</t>
  </si>
  <si>
    <t>Poligonal S.A.</t>
  </si>
  <si>
    <t>Poligonal Sociedad Anónima</t>
  </si>
  <si>
    <t>OI-020</t>
  </si>
  <si>
    <t>OI-018-A01 / OI-018-A02 / OI-018-A03</t>
  </si>
  <si>
    <t xml:space="preserve"> Carlo Molina Rivera/Alejandra Vargas</t>
  </si>
  <si>
    <t>carlomolinarivera@gmail.com; poligonalsa@gmail.com</t>
  </si>
  <si>
    <t>8385-6550</t>
  </si>
  <si>
    <t>Guanacaste, Nicoya, Barrio la Virginia, 25 mts oeste de la empresa de buses Traroc.</t>
  </si>
  <si>
    <t>3-101-187188</t>
  </si>
  <si>
    <t>Carlo Molina Rivera</t>
  </si>
  <si>
    <t>1-747-290</t>
  </si>
  <si>
    <t>POLIGONAL S.A.</t>
  </si>
  <si>
    <t>cmolinae@racsa.co.cr</t>
  </si>
  <si>
    <t>Lunes - Viernes  8:00 a.m. a 5:00 p.m.</t>
  </si>
  <si>
    <t>Diseño, Inspección y Consultoría en Carreteras y Obras Civiles DICCOC S.R.L.</t>
  </si>
  <si>
    <t>Diseño, Inspección y Consultoría en Carreteras y Obras Civiles DICCOC Sociedad de Responsabilidad Limitada</t>
  </si>
  <si>
    <t>OI-021</t>
  </si>
  <si>
    <t>OI-016-A01 / OI-016-A02 / OI-016-A03 / OI-016-A04 / OI-016-A05</t>
  </si>
  <si>
    <t>Alister Cervantes Morales</t>
  </si>
  <si>
    <t>alistercm@diccoc.com, gestiondecalidad@diccoc.com</t>
  </si>
  <si>
    <t>2261-7570</t>
  </si>
  <si>
    <t>2261-8443</t>
  </si>
  <si>
    <t>Heredia, de la esquina noreste de la Iglesia Católica, 400 metros al este, casa de dos plantas, color gris, San Rafael.</t>
  </si>
  <si>
    <t xml:space="preserve">3-102-518005 </t>
  </si>
  <si>
    <t>www.diccoc.com</t>
  </si>
  <si>
    <t>Mónica Bolaños Sánchez</t>
  </si>
  <si>
    <t>1-0802-0326</t>
  </si>
  <si>
    <t>Ingeniera Civl</t>
  </si>
  <si>
    <t>Angelly Paniagua Sánchez</t>
  </si>
  <si>
    <t>Diseño, Inspección y Consultoría en Carreteras y Obras Civiles, S.R.L.</t>
  </si>
  <si>
    <t>angelly.paniagua@diccoc.com</t>
  </si>
  <si>
    <t>Lunes a Viernes de 8:00 a.m. a 4:00 p.m.</t>
  </si>
  <si>
    <t>Diseño, Inspección y Consultoría en Carreteras y Obras Civiles DICCOC R.L.</t>
  </si>
  <si>
    <t>Empresarial FAMCOVA de Costa Rica, S.A.</t>
  </si>
  <si>
    <t>OI-022</t>
  </si>
  <si>
    <t>OI-019-A01 /OI-019-A02</t>
  </si>
  <si>
    <t>lmiranda@famcova.net</t>
  </si>
  <si>
    <t> malvarado@famcova.net</t>
  </si>
  <si>
    <t xml:space="preserve">3-101-500445 </t>
  </si>
  <si>
    <t>www.famcova.net</t>
  </si>
  <si>
    <t>Luis Carlos Corrales Xatruch</t>
  </si>
  <si>
    <t>2 0465 0245</t>
  </si>
  <si>
    <t>Gerencia/Ingeniero de proyecto titular</t>
  </si>
  <si>
    <t>8:00 a 5:00 jornada continua</t>
  </si>
  <si>
    <t>Grupo Lauher, S.A.</t>
  </si>
  <si>
    <t xml:space="preserve">Grupo Lauher Sociedad Anónima </t>
  </si>
  <si>
    <t>OI-023</t>
  </si>
  <si>
    <t>OI-020-A01 / OI-020-A02 / OI-020-A03 / OI-020-A04</t>
  </si>
  <si>
    <t xml:space="preserve">Bernal Hernández Soto  Maricela Arrieta </t>
  </si>
  <si>
    <t xml:space="preserve">bhernandez@grupolauher.com; behernandez@cfia.or.cr;   </t>
  </si>
  <si>
    <t>marrieta@grupolauher.com</t>
  </si>
  <si>
    <t>8318-5299/ 2475-6446</t>
  </si>
  <si>
    <t>2475-6590</t>
  </si>
  <si>
    <t>Alajuela, 30 metros suroeste de la plaza de deportes, entreda a Pénjamo casa esquinera, Florencia de San Carlos.</t>
  </si>
  <si>
    <t>3-101-535666</t>
  </si>
  <si>
    <t>www.grupolauher.com</t>
  </si>
  <si>
    <t>Bernal Hernández Soto</t>
  </si>
  <si>
    <t>2-467-192</t>
  </si>
  <si>
    <t>Licenciado en Ingeniería civil / Maestría en Administración de proyectos</t>
  </si>
  <si>
    <t>Alajuela, 30 suroeste de la plaza de deportes, entrada a Pénjamo casa esquinera, Florencia de San Carlos.</t>
  </si>
  <si>
    <t>Gerente general / Ingeniero Titular</t>
  </si>
  <si>
    <t>Cindy Rodríguez Cruz- crodriguez@grupolauher.com</t>
  </si>
  <si>
    <t>2475-6446</t>
  </si>
  <si>
    <t>Alajuela, 30 suroeste de la plaza de deportes, entreda a Pénjamo casa esquinera, Florencia de San Carlos.</t>
  </si>
  <si>
    <t>bhernandez@grupolauher.com</t>
  </si>
  <si>
    <t>7:30 am a 5:00pm</t>
  </si>
  <si>
    <t xml:space="preserve"> INCOSESA - Inspección y Consultoría Sánchez Elizondo S.A.</t>
  </si>
  <si>
    <t xml:space="preserve">Inspección y Consultoría Sánchez Elizondo Sociedad Anónima </t>
  </si>
  <si>
    <t>OI-024</t>
  </si>
  <si>
    <t>A01: 25/06/2019
A02: 27/01/2025</t>
  </si>
  <si>
    <t>Erik Aguilar Sánchez</t>
  </si>
  <si>
    <t>erikaguilarsanchez@yahoo.com</t>
  </si>
  <si>
    <t>infoincosesacr@gmail.com</t>
  </si>
  <si>
    <t xml:space="preserve">  8723-8851</t>
  </si>
  <si>
    <t>2450-1528</t>
  </si>
  <si>
    <t>Alajuela,  150 m Sur de la iglesia Católica, contiguo al Pani, Centro de  Orotina</t>
  </si>
  <si>
    <t>3-101-530157</t>
  </si>
  <si>
    <t>1-712-745</t>
  </si>
  <si>
    <t>Gerente, Ingeniero Titular, RSGC, Asistente e Inspector</t>
  </si>
  <si>
    <t>2451-0809</t>
  </si>
  <si>
    <t> 8723-881</t>
  </si>
  <si>
    <t>containcosesa@gmail.com</t>
  </si>
  <si>
    <t>Lunes a Viernes 8:00 am a 5:00 pm</t>
  </si>
  <si>
    <t>Inspección y Consultoría Sánchez Elizondo S.A.</t>
  </si>
  <si>
    <t xml:space="preserve">Tal y como se ha comunicado oportunamente, nuestro OEC opera sin un contrato de inspección activo </t>
  </si>
  <si>
    <t>Consorcio Estratega V &amp; CH S.A.</t>
  </si>
  <si>
    <t xml:space="preserve">Consorcio Estratega V &amp; CH Sociedad Anónima </t>
  </si>
  <si>
    <t>OI-025</t>
  </si>
  <si>
    <t>A01: 22/04/2014
A02: 17/08/2017
A03: 29/01/2024
A04: 5/11/2024</t>
  </si>
  <si>
    <t>Adalid Villanea Calvo</t>
  </si>
  <si>
    <t>cevchsa@gmail.com</t>
  </si>
  <si>
    <t>chaconlawyer@gmail.com</t>
  </si>
  <si>
    <t>2271-5314/8814-61-75/24587-8724</t>
  </si>
  <si>
    <t>2272-52-72</t>
  </si>
  <si>
    <t>San José, 25 m este del Banco Nacional, comercial  La Rosa, local  2, Curridabat/Alajuela, 100 metros este de la casa de la fiesta del maíz, La Garita</t>
  </si>
  <si>
    <t>3-101-256151</t>
  </si>
  <si>
    <t>ADALID VILLANEA CALVO</t>
  </si>
  <si>
    <t>1-0510-0784</t>
  </si>
  <si>
    <t>Ing.Civil</t>
  </si>
  <si>
    <t>San José, 25 m este del Banco Nacional, comercial  La Rosa, local  2, Curridabat/Alajuela, 100 m este de la casa de la fiesta del maíz, La Garita</t>
  </si>
  <si>
    <t>Gerente Ing. Titular</t>
  </si>
  <si>
    <t>Licda Ana M. Chacón Novoa</t>
  </si>
  <si>
    <t>8328-06-75</t>
  </si>
  <si>
    <t>8:00 am a 5 pm</t>
  </si>
  <si>
    <t>Organismo de Inspección  Plataforma de Almenar S.A.</t>
  </si>
  <si>
    <t>Plataforma de Almenar Sociedad Anónima</t>
  </si>
  <si>
    <t>OI-026</t>
  </si>
  <si>
    <t>OI-023-A01/ OI-023-A02</t>
  </si>
  <si>
    <t>Juan José Mesén Espinoza</t>
  </si>
  <si>
    <t xml:space="preserve">plataformadealmenar@gmail.com </t>
  </si>
  <si>
    <r>
      <rPr>
        <rFont val="Arial"/>
        <color theme="1"/>
        <sz val="12.0"/>
      </rPr>
      <t>4030-2000</t>
    </r>
    <r>
      <rPr>
        <rFont val="Arial"/>
        <color rgb="FF000000"/>
        <sz val="12.0"/>
      </rPr>
      <t>.</t>
    </r>
  </si>
  <si>
    <t>JUAN JOSE MESEN ESPINOZA</t>
  </si>
  <si>
    <t>5-230-652</t>
  </si>
  <si>
    <t>Puntarenas, de la oficina del Registro Civil 30 sur y 50 oeste, Buenos Aires.</t>
  </si>
  <si>
    <t>PLATAFORMA DE ALMENAR S.A.</t>
  </si>
  <si>
    <t>2772-1013/8313-88719</t>
  </si>
  <si>
    <t>Puntarenes, de la oficina del Registro Civil 30 sur y 50 oeste, Buenos Aires.</t>
  </si>
  <si>
    <t>2772-1013</t>
  </si>
  <si>
    <t>brenargentina@hotmail.com; jjmesene@hotmail.com</t>
  </si>
  <si>
    <t>Organismo de Inspección  Plataforma de AlmenarS.A.</t>
  </si>
  <si>
    <t>13.01.2015, cambio de tipo de "A" a "C"
Acuerdo CA-031-2022-05 Retiro del OEC</t>
  </si>
  <si>
    <t>Inversiones Bamba M.D. S.A.</t>
  </si>
  <si>
    <t>OI-027</t>
  </si>
  <si>
    <t>Ing. Wasser Alberto Matarrita Díaz</t>
  </si>
  <si>
    <t>inversionesbamba@hotmail.com; Wassermd@hotmail.com; jpezcoco@hotmail.com; wassermd@bambamd.org</t>
  </si>
  <si>
    <t>2494-1163</t>
  </si>
  <si>
    <t>De la entrada principal de Plaza Pinos, (Pinturas Decor Protecto), 200 m Sur.  Edificio esquinero color mostaza en los altos del Salón Guadalupe, Grecia, Alajuela.</t>
  </si>
  <si>
    <t>3-101-296728</t>
  </si>
  <si>
    <t>Vieto y Asociados Sociedad Anónima</t>
  </si>
  <si>
    <t>OI-028</t>
  </si>
  <si>
    <t>OI-028-A01 / OI-028-A02</t>
  </si>
  <si>
    <t>Heredia, del rancho de Doña Lela 3.5km sobre la autopista Braulio Carrillo, después del segundo puente peatonal 400 metros norte primer entrada de lastre a mano derecha, San Luis de Santo Domingo.</t>
  </si>
  <si>
    <t>www.vieto.com</t>
  </si>
  <si>
    <t>susy.vieto@vieto.com
calidad@vieto.com</t>
  </si>
  <si>
    <t>contabilidad@vieto.com</t>
  </si>
  <si>
    <t>Laboratorio Químico Lambda S.A.</t>
  </si>
  <si>
    <t>OI-029</t>
  </si>
  <si>
    <t>Rafael Amón Pérez</t>
  </si>
  <si>
    <t>lambda@racsa.co.cr; lambda@racsa.co.cr</t>
  </si>
  <si>
    <t>2226-4462</t>
  </si>
  <si>
    <t>San Francisco de 2 Ríos, Barrio Los Álamos, de la Iglesia 100 m oeste, 75 m norte y
75m oeste.</t>
  </si>
  <si>
    <t>3-101-07-4595-15</t>
  </si>
  <si>
    <t xml:space="preserve"> Lambda</t>
  </si>
  <si>
    <t>DIPOA-SENASA</t>
  </si>
  <si>
    <t>OI-030</t>
  </si>
  <si>
    <t>Dra. Mónica Sandi Lizano</t>
  </si>
  <si>
    <t>msandi@senasa.go.cr; gsuarez@senasa.go.cr</t>
  </si>
  <si>
    <t>2260-8648</t>
  </si>
  <si>
    <t>Lagunilla de Heredia, 1.5 km este de Jardines del Recuerdo y 300 m norte del Campus Universitario Benjamín Núñez</t>
  </si>
  <si>
    <t>3-007475726</t>
  </si>
  <si>
    <t>MAG</t>
  </si>
  <si>
    <t>Organismo de Inspección CASTRO &amp; DE LA TORRE S.A</t>
  </si>
  <si>
    <t>CASTRO &amp; DE LA TORRE S.A</t>
  </si>
  <si>
    <t>OI-031</t>
  </si>
  <si>
    <t>OI-025-A01 / OI-025-A02 / OI-025-A03 / OI-025-A04 / OI-025-A05</t>
  </si>
  <si>
    <t>info@cyt.cr</t>
  </si>
  <si>
    <t>500 m Oeste de la Fabrica Jack’s, Zona Industrial de Pavas, San José.</t>
  </si>
  <si>
    <t>3-101-007884</t>
  </si>
  <si>
    <t>www.cyt.cr</t>
  </si>
  <si>
    <t>amata@cyt.cr</t>
  </si>
  <si>
    <t>CASTRO &amp; DE LA TORRE</t>
  </si>
  <si>
    <t>IMNSA Ingenieros Consultores S.A., Organismo de Inspección</t>
  </si>
  <si>
    <t>OI-032</t>
  </si>
  <si>
    <t xml:space="preserve"> asistentecalidadimnsa@gmail.com</t>
  </si>
  <si>
    <t>San José, Carretera a Sabanilla, del Supermercado "La Cosecha" 100 metros Sur, 100 metros Este y 25 metros Norte, Edificio # 505, Barrio Carmiol, Montes de Oca.</t>
  </si>
  <si>
    <t>San José, Carretera a Sabanilla, del Supermercado "La Cosecha" 100 Sur, 100 Este y 25 Norte, Edificio # 505, Barrio Carmiol, Montes de Oca.</t>
  </si>
  <si>
    <t>Verónica Arnuero</t>
  </si>
  <si>
    <t>IMNSA Ingenieros Consultores S.A</t>
  </si>
  <si>
    <t>CA-003-2024 Retirar la acreditación de IMNSA Ingenieros Consultores Sociedad Anónima, cédula jurídica 3-101-091498, específicamente al Organismo de Inspección tipo C, IMNSA Ingenieros Consultores S.A., Organismo de Inspección, con expediente número OI-032, por no cumplir con lo indicado en el acuerdo CA-035-2023-05 y en concordancia al procedimiento ECA-MC-P34. De acuerdo con el punto 2 del ECA-MC-P34, el OEC debe cumplir los siguientes lineamientos: − Cesar inmediatamente el uso del símbolo de acreditación, en todo documento o publicidad que contenga cualquier referencia a su condición de acreditado. − Comunicar a todos sus clientes sobre el retiro de la acreditación. − Informar en un plazo de 10 días hábiles a partir de la notificación del acuerdo, al correo gc@eca.or.cr, la evidencia del cumplimiento del plan de acciones requerido para el proceso de retiro de acreditación, donde se incluya al menos lo siguiente: Cómo el OEC realizará el cese inmediato el uso del símbolo de acreditación, en todo documento o publicidad que contenga cualquier referencia a su condición de acreditado. La comunicación a todos sus clientes sobre el retiro de la acreditación. Las modificaciones o afectaciones en el sistema del sistema de gestión; otras actividades que se consideren necesarias y los tiempos de implementación de estas actividades. El presente acuerdo rige a partir del 01 de febrero del 2024.</t>
  </si>
  <si>
    <t>Organismo de Inspección SCM Metrología y Laboratorios S.A.</t>
  </si>
  <si>
    <t>SCM Metrología y Laboratorios Sociedad Anónima</t>
  </si>
  <si>
    <t>OI-033</t>
  </si>
  <si>
    <t>Jose Marvin Rodríguez Vásquez</t>
  </si>
  <si>
    <t xml:space="preserve">Alajuela, 2 kilometros este del Aeropuerto Internacional Juan Santamaría, Río Segundo de Alajuela </t>
  </si>
  <si>
    <t xml:space="preserve">3-101-271623 </t>
  </si>
  <si>
    <t>http://www.scmmetrologia.com/Newsite/</t>
  </si>
  <si>
    <t xml:space="preserve">Alajuela, 2 km este del Aeropuerto Internacional Juan Santamaría, Río Segundo de Alajuela </t>
  </si>
  <si>
    <t>laura.molina@scmmetrologia.com;  mauricio.montero@scmmetrologia.com</t>
  </si>
  <si>
    <t>Organismo de Inspección del Centro de Electroquímica y Energía Química CELEQ</t>
  </si>
  <si>
    <t xml:space="preserve">Universidad de Costa Rica </t>
  </si>
  <si>
    <t>OI-034</t>
  </si>
  <si>
    <t xml:space="preserve">OI-027-A01 / OI-027-A02 / OI-027-A03 / OI-027-A04 / </t>
  </si>
  <si>
    <t>Mariann Guillén Osorno
Dr. Jean Sanabria Chinchilla</t>
  </si>
  <si>
    <t>San José, Ciudad de la Investigación de la UCR, San Pedro de Montes de Oca</t>
  </si>
  <si>
    <t>4-000-042 149</t>
  </si>
  <si>
    <t>Rector de la U.C.R.</t>
  </si>
  <si>
    <t>mbadillad@hotmail.com</t>
  </si>
  <si>
    <t>2.      Director del Organismo de Inspección: Ing. Eduardo HernándezQuesada</t>
  </si>
  <si>
    <t>Empresa Equipsa Tica S.A.</t>
  </si>
  <si>
    <t>OI-035</t>
  </si>
  <si>
    <t>Roycers Urbina Cerna</t>
  </si>
  <si>
    <t>roycers@racsa.co.cr; equipsatica@racsa.co.cr</t>
  </si>
  <si>
    <t>2235-5607/       8919-4852</t>
  </si>
  <si>
    <t>2297-5181</t>
  </si>
  <si>
    <t>Tibas, 400 norte del cruce de Colima, costado este de la plaza de deportes</t>
  </si>
  <si>
    <t>DISTRIBUIDORA CHERSOL SOLUCIONES</t>
  </si>
  <si>
    <t>OI-036</t>
  </si>
  <si>
    <t>Ing. Randall Gonzalez Uribe</t>
  </si>
  <si>
    <t>rginspecciones@gmail.com</t>
  </si>
  <si>
    <t>2268-3835</t>
  </si>
  <si>
    <t>2659-8155</t>
  </si>
  <si>
    <t>San Isidro de Heredia</t>
  </si>
  <si>
    <t>Equigas de Costa Rica S.A.</t>
  </si>
  <si>
    <t>OI-037</t>
  </si>
  <si>
    <t>Darin Serrano Bolaños</t>
  </si>
  <si>
    <t>dserrano@equigascr.com; info@equigascr.com; dvarela@equigascr.com</t>
  </si>
  <si>
    <t>2258-3774/      2256-0948</t>
  </si>
  <si>
    <t>2233-3438</t>
  </si>
  <si>
    <t>Calle 2, avenida 16 y 18</t>
  </si>
  <si>
    <t>FOMMOR S.A.</t>
  </si>
  <si>
    <t>OI-038</t>
  </si>
  <si>
    <t>José Gabriel Fonseca Mora</t>
  </si>
  <si>
    <t>jgfonseca86@gmail.com; fommor@gmail.com;</t>
  </si>
  <si>
    <t>2443-3787</t>
  </si>
  <si>
    <t>2441-3891</t>
  </si>
  <si>
    <t>Desamparados de Alajuela, 250 mts oeste del Colegio de Licenciados y Profesores</t>
  </si>
  <si>
    <t>3-101-115827</t>
  </si>
  <si>
    <t>Instituto Dominicano del Café, INDOCAFE</t>
  </si>
  <si>
    <t>OI-039</t>
  </si>
  <si>
    <t>(001 809) 532-9358, 532-9413</t>
  </si>
  <si>
    <t>(001 809) 535-3894</t>
  </si>
  <si>
    <t>www.codocafe.gov.do</t>
  </si>
  <si>
    <t>Marino Suarez Joran</t>
  </si>
  <si>
    <t>(001 809)532-9358</t>
  </si>
  <si>
    <t>Santo Domingo, Av. Independencia, Esq. Larimar #58, km 7 1/2 de la Sanchez</t>
  </si>
  <si>
    <t xml:space="preserve">Todos los correos se deben enviar con copia a todos los destinatarios </t>
  </si>
  <si>
    <t>Total Quality Services S.A con razón comercial Total Quality Inspections.</t>
  </si>
  <si>
    <t>OI-040</t>
  </si>
  <si>
    <t>Ing. Francisco de la Barrera</t>
  </si>
  <si>
    <t>(507)  6671-1766</t>
  </si>
  <si>
    <t>(507)  2792-866</t>
  </si>
  <si>
    <t>Centro Comercial Plaza Aventura, Oficina 425, Bethania Panamá</t>
  </si>
  <si>
    <t>1615902-1-669292 DV 80</t>
  </si>
  <si>
    <t>Erick Reinaldo Aparicio Cerrud</t>
  </si>
  <si>
    <t>7-46-315</t>
  </si>
  <si>
    <t>Lienciado en Contabilidad</t>
  </si>
  <si>
    <t>Corregimiento de Bethania – Centro Comercial Plaza Aventura – Oficina 425</t>
  </si>
  <si>
    <t>Presidente de la organización</t>
  </si>
  <si>
    <t>Kirenia Arjona P.</t>
  </si>
  <si>
    <t>TOTAL QUALITY SERVICES, S.A.</t>
  </si>
  <si>
    <t>(507) 2792865</t>
  </si>
  <si>
    <t>Centro Comercial Plaza Aventura,  Oficina 425, Bethania, Panamá.</t>
  </si>
  <si>
    <t>Lunes a viernes de 8:00 a 5:00 y sábados de 8:00 a12:00</t>
  </si>
  <si>
    <t xml:space="preserve"> 27.01.2015, retiro voluntario de acreditación                                                                                                                                                                                                                                  Todas las comunicaciones deben darse con el  nombre tal y como aparece en el Directorio OEC.</t>
  </si>
  <si>
    <t>Camacho y Mora</t>
  </si>
  <si>
    <t>OI-041</t>
  </si>
  <si>
    <t>Ing. José Manuel Camacho Castro</t>
  </si>
  <si>
    <t>2253-0552</t>
  </si>
  <si>
    <t>2280-5587</t>
  </si>
  <si>
    <t>Los Yoses Sur, de la Boutique Arenas 600m sur</t>
  </si>
  <si>
    <t>3- 101-080419</t>
  </si>
  <si>
    <t> José Manuel Camacho Castro</t>
  </si>
  <si>
    <t> 1-0707-0194</t>
  </si>
  <si>
    <t> Ingeniero Civil</t>
  </si>
  <si>
    <t>Representatante Legal</t>
  </si>
  <si>
    <t>Camacho y Mora S.A.</t>
  </si>
  <si>
    <t>Los Yoses Sur, de Boutique Arenas 600 m al sur</t>
  </si>
  <si>
    <t>2280-7785</t>
  </si>
  <si>
    <t>Organismo de Inspección Desarrollos Latinoamericanos de Metrología Integrada</t>
  </si>
  <si>
    <t>OI-042</t>
  </si>
  <si>
    <t>equiros@dmimetrologia.com</t>
  </si>
  <si>
    <t>2288-3160</t>
  </si>
  <si>
    <t xml:space="preserve">San José, del AyA 100 metros Sur, en la intersección de calle 138 con avenida 32, Escazú centro. </t>
  </si>
  <si>
    <t>Edwin Manuel Quirós Villalobos</t>
  </si>
  <si>
    <r>
      <rPr>
        <rFont val="Arial"/>
        <b/>
        <color rgb="FF222222"/>
        <sz val="12.0"/>
      </rPr>
      <t>16.11.2018</t>
    </r>
    <r>
      <rPr>
        <rFont val="Arial"/>
        <color rgb="FF222222"/>
        <sz val="12.0"/>
      </rPr>
      <t xml:space="preserve">  Levantamiento de suspención total del alacance / </t>
    </r>
    <r>
      <rPr>
        <rFont val="Arial"/>
        <b/>
        <color rgb="FF222222"/>
        <sz val="12.0"/>
      </rPr>
      <t xml:space="preserve">07.07.2015 </t>
    </r>
    <r>
      <rPr>
        <rFont val="Arial"/>
        <color rgb="FF222222"/>
        <sz val="12.0"/>
      </rPr>
      <t xml:space="preserve">levantamiento de fecha condicionante de acreditación inicial. </t>
    </r>
    <r>
      <rPr>
        <rFont val="Arial"/>
        <b/>
        <color rgb="FF222222"/>
        <sz val="12.0"/>
      </rPr>
      <t xml:space="preserve">28.04.2015 </t>
    </r>
    <r>
      <rPr>
        <rFont val="Arial"/>
        <color rgb="FF222222"/>
        <sz val="12.0"/>
      </rPr>
      <t xml:space="preserve">Acreditación inicial condicionada por  un período no prorrogable de tres meses, vigencia de la acreditación a partir del 28 de abril de 2015 y hasta el 28 de julio de 2015 </t>
    </r>
  </si>
  <si>
    <t>Área de Inspección del Laboratorio Nacional de Aguas AyA.</t>
  </si>
  <si>
    <t>Instituto Costarricense de Acueductos y alcantarillados</t>
  </si>
  <si>
    <t>OI-043</t>
  </si>
  <si>
    <t xml:space="preserve">Cartago, 400 metros Norte de la Municipalidad de Tres Ríos, La Unión . </t>
  </si>
  <si>
    <t>4000-042138-04</t>
  </si>
  <si>
    <t>Laboratorio Nacional de Aguas, AyA</t>
  </si>
  <si>
    <t xml:space="preserve">Cartago, 400 Norte de la Municipalidad de Tres Ríos, La Unión . </t>
  </si>
  <si>
    <t>Area de Inspección y Verificación de la Calidad, de la Dirección de Calidad e Inocuidad del Consejo Nacional de Producción (CNP)</t>
  </si>
  <si>
    <t>Consejo Nacional de Producción</t>
  </si>
  <si>
    <t>OI-044</t>
  </si>
  <si>
    <t>Hanzel Rodríguez Jiménez</t>
  </si>
  <si>
    <t xml:space="preserve">hrodriguez@cnp.go.cr </t>
  </si>
  <si>
    <t>acordoba@cnp.go.cr; mgonzaleza@cnp.go.cr, hanselrodriguezj@gmail.com</t>
  </si>
  <si>
    <t>2265 3338
2265 3337</t>
  </si>
  <si>
    <t>http://web.cnp.go.cr;</t>
  </si>
  <si>
    <t>José Claudio Fallas Cortés</t>
  </si>
  <si>
    <t>Viudo</t>
  </si>
  <si>
    <t>Licenciado en Administración de empresas</t>
  </si>
  <si>
    <t>Edificio Caycur, calle 88 Boulevar Ernesto Rohrmoser, Pavas, San José</t>
  </si>
  <si>
    <t>gerencia@cnp.go.cr
jfallasc@cnp.go.cr</t>
  </si>
  <si>
    <t>San José, 100 Sur del almacén Yamuni, Sabana este.</t>
  </si>
  <si>
    <t>Dirección de Medicamentos Veterinarios (SENASA)</t>
  </si>
  <si>
    <t xml:space="preserve">Servicio Nacional de Salud Animal </t>
  </si>
  <si>
    <t>OI-045</t>
  </si>
  <si>
    <t>Tatiana Leal Barrantes</t>
  </si>
  <si>
    <t>tleal@senasa.go.cr</t>
  </si>
  <si>
    <t>tatilealbtes@gmail.com</t>
  </si>
  <si>
    <t>2587-1728/2587-1726</t>
  </si>
  <si>
    <t>2262-0221</t>
  </si>
  <si>
    <t>Heredia, de Jardínes del Recuerdo, 1kilometro oeste y 400 metros norte, Campus Benjamín Nuñez, Barreal</t>
  </si>
  <si>
    <t>3-007-475726</t>
  </si>
  <si>
    <t>Federico Chaverri Suárez</t>
  </si>
  <si>
    <t>1-0806-0534</t>
  </si>
  <si>
    <t>Médico veterinario</t>
  </si>
  <si>
    <t>Heredia, de Jardínes del Recuerdo, 1km oeste y 400 m norte, Campus Benjamín Nuñez, Barreal</t>
  </si>
  <si>
    <t>SENASA</t>
  </si>
  <si>
    <t>Soluciones de Evaluación de Conformidad y Competitividad Limitada (SECC)</t>
  </si>
  <si>
    <t>OI-046</t>
  </si>
  <si>
    <t>Sergio Coto Hernández</t>
  </si>
  <si>
    <t>servicioalcliente@secc.co.cr</t>
  </si>
  <si>
    <t>coto.sergio@gmail.com; scoto@secc.co.cr; lmora@secc.co.cr</t>
  </si>
  <si>
    <t>8844-5667</t>
  </si>
  <si>
    <t>Cartago, 300 m Sur de la plaza de deportes del barrio La Pitahaya, Agua Caliente, San Francisco</t>
  </si>
  <si>
    <t>3-101-723747</t>
  </si>
  <si>
    <t>www.sec.co.cr</t>
  </si>
  <si>
    <t>3-0371-0477</t>
  </si>
  <si>
    <t xml:space="preserve">Ingeniero en producción industrial </t>
  </si>
  <si>
    <t>Sergio Coto Hernández/Laura Mora Mora</t>
  </si>
  <si>
    <t xml:space="preserve">Soluciones de Evaluación de Conformidad Limitada </t>
  </si>
  <si>
    <t>servicioalcliente@secc.co.cr; coto.sergio@gmail.com</t>
  </si>
  <si>
    <t>Laura Mora Mora</t>
  </si>
  <si>
    <t>1-1408-0201</t>
  </si>
  <si>
    <t xml:space="preserve">Ingeniera industrial </t>
  </si>
  <si>
    <t>Centro de Investigación en Vivienda y Construcción-CIVCO</t>
  </si>
  <si>
    <t>OI-047</t>
  </si>
  <si>
    <t>LE-037-A01</t>
  </si>
  <si>
    <t>Giannina Ortiz Quesada</t>
  </si>
  <si>
    <t>civco@tec.ac.cr </t>
  </si>
  <si>
    <r>
      <rPr>
        <rFont val="Arial"/>
        <color theme="1"/>
        <sz val="12.0"/>
      </rPr>
      <t> </t>
    </r>
    <r>
      <rPr>
        <rFont val="Arial"/>
        <color rgb="FF1155CC"/>
        <sz val="12.0"/>
        <u/>
      </rPr>
      <t>gortiz@tec.ac.cr;
avillalobos@itcr.ac.cr</t>
    </r>
  </si>
  <si>
    <t> 2550-2309</t>
  </si>
  <si>
    <t>www.tec.ac.cr</t>
  </si>
  <si>
    <t xml:space="preserve">Fundación Tecnológica FUNDATEC </t>
  </si>
  <si>
    <t>Grupo Roading Consulters S.A.</t>
  </si>
  <si>
    <t>Grupo Roading Consulters Sociedad Anónima</t>
  </si>
  <si>
    <t>OI-048</t>
  </si>
  <si>
    <t>Lucía Chaverrí Morales</t>
  </si>
  <si>
    <t>chaverrilucia@gmail.com</t>
  </si>
  <si>
    <t>jnunez@gruporoading.com</t>
  </si>
  <si>
    <t>4030-3753/8705-8265</t>
  </si>
  <si>
    <t>San José, Condominio Parques del Sol 138, Santa Ana</t>
  </si>
  <si>
    <t>Lucia Chaverri Morales</t>
  </si>
  <si>
    <t>1-1162-0366</t>
  </si>
  <si>
    <t>Directora</t>
  </si>
  <si>
    <t>4030-3753/8702-8311</t>
  </si>
  <si>
    <t>San José, Condominio Paques del Sol, casa No. 138, Santa Ana</t>
  </si>
  <si>
    <t>Retiro de acreditación 2021.02.16</t>
  </si>
  <si>
    <t xml:space="preserve">
Balanzas Ballar Costa Rica S.A.</t>
  </si>
  <si>
    <t>OI-049</t>
  </si>
  <si>
    <t>Paula Hernández</t>
  </si>
  <si>
    <t>rballar@ice.co.cr</t>
  </si>
  <si>
    <t xml:space="preserve">phernandez@romanasballar.com; </t>
  </si>
  <si>
    <t>2297-4000</t>
  </si>
  <si>
    <t>2235-7348</t>
  </si>
  <si>
    <t>San José, de ferretería EPA 175 m Oeste, Colima de Tibás</t>
  </si>
  <si>
    <t xml:space="preserve"> 
3-101-708048</t>
  </si>
  <si>
    <t>www.balanzasballar.com</t>
  </si>
  <si>
    <t>Jorge Eduardo Ballar González</t>
  </si>
  <si>
    <t>9-048-991</t>
  </si>
  <si>
    <t>San José,  175 m Oestede ferretería EPA, Colima de Tibás</t>
  </si>
  <si>
    <t>Balanzas Ballar Costa Rica S.A</t>
  </si>
  <si>
    <t xml:space="preserve"> 
2297-4000</t>
  </si>
  <si>
    <t>Retiro de la acreditación 2021.04.12</t>
  </si>
  <si>
    <t>OI-050</t>
  </si>
  <si>
    <t>Adriana Fonseca</t>
  </si>
  <si>
    <t>servicioalcliente@chaso.com </t>
  </si>
  <si>
    <t>125 m norte del San José Palacios, contiguo a Meco.</t>
  </si>
  <si>
    <t>Francisco José Soto Sagot</t>
  </si>
  <si>
    <t>1-0783-0445</t>
  </si>
  <si>
    <t>ITP -  Organismo de Inspección</t>
  </si>
  <si>
    <t>Ingeniería Técnica de Proyectos ITP S.A</t>
  </si>
  <si>
    <t>OI-056</t>
  </si>
  <si>
    <t>Ing. Shirleny Salas Picado</t>
  </si>
  <si>
    <t>shirleny.salas@itp.cr</t>
  </si>
  <si>
    <t>2220-1400 Ext. 2009 / 2010</t>
  </si>
  <si>
    <t>Frente al ampm de la Uruca, contiguo a Repretel canal 6, edificio gris con naranja</t>
  </si>
  <si>
    <t xml:space="preserve">www.itp.cr </t>
  </si>
  <si>
    <t>Ing. Oscar Martínez Martínez</t>
  </si>
  <si>
    <t>3-0276-0787</t>
  </si>
  <si>
    <t>Ing. Civil</t>
  </si>
  <si>
    <t>ITP - Ingeniería de Proyectos ITP S.A</t>
  </si>
  <si>
    <t>2220-1400 Ext. 2013</t>
  </si>
  <si>
    <t>La Uruca, San José, Costa Rica, transversal 72, diagonal a supermercado ampm</t>
  </si>
  <si>
    <t>facturacioncxp@itp.cr ;</t>
  </si>
  <si>
    <t>ITP - Ingeniería Técnica de Proyectos ITP S.A</t>
  </si>
  <si>
    <t>Escuela de Ingeniería Química - UCR</t>
  </si>
  <si>
    <t xml:space="preserve">Académico </t>
  </si>
  <si>
    <t>OI-051</t>
  </si>
  <si>
    <t>Esteban Durán Herrera</t>
  </si>
  <si>
    <t>esteban.duranherrera@ucr.ac.cr</t>
  </si>
  <si>
    <t xml:space="preserve">paula.solano@ucr.ac.cr
</t>
  </si>
  <si>
    <t xml:space="preserve"> 
2511-6640</t>
  </si>
  <si>
    <t xml:space="preserve"> 
2225-2622</t>
  </si>
  <si>
    <t>San José, Ciudad Universitaria Rodrigo Facio, Facultad de Ingeniería, Edificio de la torre, 5to piso, San Pedro</t>
  </si>
  <si>
    <t>eiq@ucr.ac.cr</t>
  </si>
  <si>
    <t>Gustavo Gutiérrez Espeleta</t>
  </si>
  <si>
    <t>1-660-352</t>
  </si>
  <si>
    <t xml:space="preserve">Fundación de la Universidad de Costa Rica </t>
  </si>
  <si>
    <t>San José,  Ciudad Universitaria Rodrigo Facio, San Pedro de Montes de Oca,</t>
  </si>
  <si>
    <t>Retiro voluntario de la acreditación 2021.05.25</t>
  </si>
  <si>
    <t>Asociación Cámara Nacional de Productores y Exportadores de Piña - CANAPEP-OI</t>
  </si>
  <si>
    <t>OI-052</t>
  </si>
  <si>
    <t>Stephanie Rodríguez Hidalgo</t>
  </si>
  <si>
    <t>srodriguez@canapep.com</t>
  </si>
  <si>
    <t>amunoz@canapep.com </t>
  </si>
  <si>
    <t>San José, del Scotiabank 100 m Norte y 50 m Oeste, Sabana Norte</t>
  </si>
  <si>
    <t>3-002-355854</t>
  </si>
  <si>
    <t xml:space="preserve"> www.canapep.com </t>
  </si>
  <si>
    <t>Abel Chaves Trigueros</t>
  </si>
  <si>
    <t>Licenciado en ciencias económicas</t>
  </si>
  <si>
    <t> Rebeca Sequeira/Antonella Bonanni</t>
  </si>
  <si>
    <t xml:space="preserve">Cámara Nacional de Productores y Exportadores de Piña </t>
  </si>
  <si>
    <t> info@canapep.com</t>
  </si>
  <si>
    <t xml:space="preserve">Lunes a viernes de 8am a 5pm </t>
  </si>
  <si>
    <t>Cámara Nacional de Productores y Exportadores de Piña</t>
  </si>
  <si>
    <t>BSS S.R.L.</t>
  </si>
  <si>
    <t>BSS Ingeniería Consultoría e Inspecciones SRL</t>
  </si>
  <si>
    <t>OI-053</t>
  </si>
  <si>
    <t>OI-041-A01</t>
  </si>
  <si>
    <t>Marcela Fernández Mora
Michel González
Yendry Elizondo Quirós</t>
  </si>
  <si>
    <t>mfernandez@bss.cr</t>
  </si>
  <si>
    <t>mgonzalez@bss.cr; yendry@bss.cr; info@bss.cr</t>
  </si>
  <si>
    <t xml:space="preserve">4001-6261 / 83851598 </t>
  </si>
  <si>
    <t>PROVINCIA 01 SAN JOSÉ, CANTÓN 02 ESCAZÚ, SAN RAFAEL, BELLO HORIZONTE, RESIDENCIAL LOS ELISEOS, CASA NÚMERO CUARENTA</t>
  </si>
  <si>
    <t>3-102-498029</t>
  </si>
  <si>
    <t>https://bss.cr/</t>
  </si>
  <si>
    <t>Marcela de los Ángeles Fernández Mora</t>
  </si>
  <si>
    <t>1-1350-0129</t>
  </si>
  <si>
    <t xml:space="preserve">Ingeniera en producción industrial </t>
  </si>
  <si>
    <t>San José, Montes de Oca, San Pedro, Residencial Lugano, Timbre 17</t>
  </si>
  <si>
    <t>Gestión Financiera</t>
  </si>
  <si>
    <t>4001-6261</t>
  </si>
  <si>
    <t>San José, Montes de Oca, San Pedro, Urbanización Lugano</t>
  </si>
  <si>
    <t>info@bss.cr; mfernandez@bss.cr</t>
  </si>
  <si>
    <t xml:space="preserve">8:00 am - 5:00 pm </t>
  </si>
  <si>
    <t>Blue Sky Services SRL</t>
  </si>
  <si>
    <t>Organismo de Inspección del Laboratorio Nacional de Materiales y Modelos Estructurales - UCR</t>
  </si>
  <si>
    <t>Publica</t>
  </si>
  <si>
    <t>OI-054</t>
  </si>
  <si>
    <t>A01: 13/01/2025</t>
  </si>
  <si>
    <t>Alejandro Navas Carro Humberto Tioli Mora</t>
  </si>
  <si>
    <t>Direccion.lanamme@ucr.ac.cr; Jose.tioli@ucr.ac.cr</t>
  </si>
  <si>
    <t>2511-2500/2511-2531</t>
  </si>
  <si>
    <t>http://www.lanamme.ucr.ac.cr/</t>
  </si>
  <si>
    <t>San José, Universidad de Costa Rica, Sede Rodrigo Facio, contiguo a la Fac. de Ciencias Agroalimentarias, San Pedro de Montes de Oca.</t>
  </si>
  <si>
    <t>8:00 a.m a 5:00 p.m.</t>
  </si>
  <si>
    <t>Proeléctrica de Centroamérica S.A.</t>
  </si>
  <si>
    <t>PROELÉCTRICA DE CENTROAMÉRICA S.A.</t>
  </si>
  <si>
    <t>OI-055</t>
  </si>
  <si>
    <t>OI-061</t>
  </si>
  <si>
    <t>Seidy Ortega, Denic Murillo Murillo</t>
  </si>
  <si>
    <t xml:space="preserve"> seidy@proelectrica.net,
dmurillo@proelectrica.net</t>
  </si>
  <si>
    <t>info@proelectrica.net</t>
  </si>
  <si>
    <t>2460-2901/8366-6151</t>
  </si>
  <si>
    <t>2460-2109</t>
  </si>
  <si>
    <t>San Carlos, Quesada, Hogar de Ancianos, detrás de las oficinas del ICT, 2da planta edificio color blanco.</t>
  </si>
  <si>
    <t>3-101-399003</t>
  </si>
  <si>
    <t>www.proelectrica.net</t>
  </si>
  <si>
    <t>Denic Danay Murillo Murillo</t>
  </si>
  <si>
    <t>Ingeniero Electricista</t>
  </si>
  <si>
    <t>Alajuela, detrás de la oficina del ICT, Ciudad Quesada, San Carlos.</t>
  </si>
  <si>
    <t>dann@proelectrica.net; dmurillo@proelectrica.net</t>
  </si>
  <si>
    <t>OI-057</t>
  </si>
  <si>
    <t xml:space="preserve"> Ing. Amed  Aldi Bolaños
amedaldi@lgcingenieria.net</t>
  </si>
  <si>
    <t>Laboratorio de Inspección RECOPE</t>
  </si>
  <si>
    <t>Refinadora Costarricense de Petroleo</t>
  </si>
  <si>
    <t>OI-058</t>
  </si>
  <si>
    <t>A01: 17/01/2023
A02: 25/11/2024</t>
  </si>
  <si>
    <t>Roberto Coto Rojas / Lorena Acosta Solís.</t>
  </si>
  <si>
    <t xml:space="preserve">sg.metrologia@recope.go.cr </t>
  </si>
  <si>
    <t>N.A.</t>
  </si>
  <si>
    <t>Departamento de Metrología, Palntel El Alto de Ochomogo, kilometro 12, Ruta 2, Ochomogo San Nicolas, Cartago.</t>
  </si>
  <si>
    <t>www.recope.go.cr</t>
  </si>
  <si>
    <t>Max Umaña Hidalgo</t>
  </si>
  <si>
    <t>San José, Goicochea, San Francisco, Tournón, calle 108, Ruta 32, km 0, Edificio Hernán Garrón, contiguo al Puesto de Bolsa del Banco Nacional</t>
  </si>
  <si>
    <t>Apoderado</t>
  </si>
  <si>
    <t>José Abilio Serrano</t>
  </si>
  <si>
    <t>2284-2700 ext.: 4516</t>
  </si>
  <si>
    <t xml:space="preserve">joseabilio.serrano@recope.go.cr </t>
  </si>
  <si>
    <t>De L a V de 07:00 a.m. a 03:00 p.m.</t>
  </si>
  <si>
    <t>Organismo de Inspección de la Cámara de Empresarios del Combustible</t>
  </si>
  <si>
    <t>Cámara de Empresarios del Combustible</t>
  </si>
  <si>
    <t>OI-059</t>
  </si>
  <si>
    <t>A01: 07/04/2025</t>
  </si>
  <si>
    <t>Pablo Guzmán Trejos</t>
  </si>
  <si>
    <t>pguzman@empresariosdelcombustible.com</t>
  </si>
  <si>
    <t>info@empresariosdelcombustible.com</t>
  </si>
  <si>
    <t>2232-4575</t>
  </si>
  <si>
    <t>2220-4391</t>
  </si>
  <si>
    <t xml:space="preserve">San Jose, Mata Redonda, Rancho Luna, calle 70, Sabana Oeste, del restaurante Princesa Marina, 200 m oeste, casa esquinera portón negro.  </t>
  </si>
  <si>
    <t>3-002-056477</t>
  </si>
  <si>
    <t>www.empresariosdelcombustible.com</t>
  </si>
  <si>
    <t>Alberto Geradro Mesen Madrigal</t>
  </si>
  <si>
    <t>1-0395-0803</t>
  </si>
  <si>
    <t xml:space="preserve">San Jose, Mata Redonda, Rqancho Luna, calle 70, Sabana Oeste, del restaurante Princesa Marina, 200 m oeste, casa esquinera portón negro.  </t>
  </si>
  <si>
    <t>Departamento Contable</t>
  </si>
  <si>
    <t>Emilia Chaverri Saborío</t>
  </si>
  <si>
    <t>2231-4575 ext.: 2</t>
  </si>
  <si>
    <t>echaverri@aceccr.com / facturas@aceccr.com</t>
  </si>
  <si>
    <t>Organismo de Inspección de Programa de Estudios en Calidad, Ambiente y Metrología PROCAME</t>
  </si>
  <si>
    <t>OI-060</t>
  </si>
  <si>
    <t>Karla Vetrani Chavarría</t>
  </si>
  <si>
    <t>22777-3448</t>
  </si>
  <si>
    <t>Heredia, Universidad Nacional, Campus Omar Dengo, 3 er piso Escuela de Ciencias Ambientales, Heredia.</t>
  </si>
  <si>
    <t>4-000-042150-14</t>
  </si>
  <si>
    <t>www.procame.una.ac.cr</t>
  </si>
  <si>
    <t>Francisco González Alvarado</t>
  </si>
  <si>
    <t>Historiador y educador</t>
  </si>
  <si>
    <t>Heredia, Universidad Nacional, Edificio Rectoria</t>
  </si>
  <si>
    <t>Lunes a viernes, 8:00 a.m. a 12 m.d
1:00 pm. a 5:00 pm.</t>
  </si>
  <si>
    <t>Procame</t>
  </si>
  <si>
    <t>Seidy Patricia Ortega Pérez</t>
  </si>
  <si>
    <t>dmurillo@proelectrica.net
seidy@proelectrica.net</t>
  </si>
  <si>
    <t>Alajuela, San Carlos, Quesada, Hogar de Ancianos, detrás de las oficinas del ICT, 2da planta edificio color blanco</t>
  </si>
  <si>
    <t>2-0549-0010</t>
  </si>
  <si>
    <t>soltero</t>
  </si>
  <si>
    <t>Administrativo / Seidy Ortega Perez</t>
  </si>
  <si>
    <t>fe@proelectrica.net</t>
  </si>
  <si>
    <t>De L-V de 8:00 am a 5:pm</t>
  </si>
  <si>
    <t>Seléctrica</t>
  </si>
  <si>
    <t>Solís Eléctrica Sociedad Responsabilidad Limitada</t>
  </si>
  <si>
    <t>OI-062</t>
  </si>
  <si>
    <t>Marianela Tenorio Wong</t>
  </si>
  <si>
    <t>marianela@selectrica.net</t>
  </si>
  <si>
    <t xml:space="preserve">info@selectrica.net </t>
  </si>
  <si>
    <t xml:space="preserve">Costa Rica, Limón, Pococí, Guápiles, Guápiles, sobre Ruta 32, frente a la Terminal de Buses del Caribe, sobre ruta 32. </t>
  </si>
  <si>
    <t>3-102-176592</t>
  </si>
  <si>
    <t>www.selectrica.net</t>
  </si>
  <si>
    <t>Luis Mariano Solís Vargas</t>
  </si>
  <si>
    <t>2-0375-0053</t>
  </si>
  <si>
    <t>Costa Rica, Limón, Pococí, Guápiles, Guápiles, sobre Ruta 32, frente a la Terminal de Buses del Caribe, sobre ruta 32</t>
  </si>
  <si>
    <t>Crédito y Cobro / Dana Arias Montero</t>
  </si>
  <si>
    <t>dana@selectrica.net</t>
  </si>
  <si>
    <t>De Lunes a Viernes de 7:00 A.M a 5:00 P.M</t>
  </si>
  <si>
    <t>Selectrica</t>
  </si>
  <si>
    <t xml:space="preserve">Otorgar la acreditación a Solís Eléctrica Sociedad Responsabilidad Limitada, cédula jurídica 3-102-176592, específicamente al Organismo de Inspección tipo C, Seléctrica, con expediente OI-062, según recomendación de la Secretaría de Acreditación SAI-021-2022 para las actividades de evaluación de la conformidad descritas en el siguiente cuadro y que fueron evaluadas según se indica en el informe de evaluación in situ o remota, por cumplir con los requisitos de la norma INTE-ISO/IEC 17020:2012 y los criterios de acreditación. </t>
  </si>
  <si>
    <t>Verlec Limitada</t>
  </si>
  <si>
    <t>OI-063</t>
  </si>
  <si>
    <t>mguillen@verleccr.com</t>
  </si>
  <si>
    <t>info@verleccr.com</t>
  </si>
  <si>
    <t>8921-1612 / 8339-8421</t>
  </si>
  <si>
    <t>San José, Desamparados, Desamparados, Calle Fallas, Desamparados, 300 Oeste y 100 Sur de la Iglesia, Urbanización Cerámica Poás, Casa 6C</t>
  </si>
  <si>
    <t>3-102-801433</t>
  </si>
  <si>
    <t>1-1215-0754</t>
  </si>
  <si>
    <t>soltera</t>
  </si>
  <si>
    <t>Adminsitradora recursos naturales</t>
  </si>
  <si>
    <t>Depto. Contabilidad / Mariann Guillén Osorno</t>
  </si>
  <si>
    <t>contabilidad@verleccr.com</t>
  </si>
  <si>
    <t>08:00-17:00</t>
  </si>
  <si>
    <t>CA-004-2023-08 Cerrar y archivar el expediente del proceso inicial de acreditación del Organismo de Inspección tipo C, VERLEC Limitada, cédula jurídica 3-102-801433, con expediente OI-063, debido a que la evaluación no se pudo coordinar en el tiempo establecido en el ECA-MP-P02 y adicionalmente se informa que la sociedad se encuentra en un proceso de disolución y conformación de una nueva figura jurídica.</t>
  </si>
  <si>
    <t>Global GMP S.A.</t>
  </si>
  <si>
    <t>Global Giempi Sociedad Anónima</t>
  </si>
  <si>
    <t>OI-064</t>
  </si>
  <si>
    <t>María Gabriela Zavaleta Mora</t>
  </si>
  <si>
    <t xml:space="preserve">gzavaleta@globalgmp.net </t>
  </si>
  <si>
    <t>kchaves@globalgmp.net</t>
  </si>
  <si>
    <t>Edificio Mora Garro. Entre avenidas 10 y 12, Calle 2, San José</t>
  </si>
  <si>
    <t>3-101-464739</t>
  </si>
  <si>
    <t>www.globalgmp</t>
  </si>
  <si>
    <t>1-0565-0256</t>
  </si>
  <si>
    <t>Farmacéutica</t>
  </si>
  <si>
    <t xml:space="preserve">De la Iglesia de Tres Ríos 1 km al este. Residencial Sierras de la Unión Casa J-2, o bien, al apartado postal 7, San José 1000 </t>
  </si>
  <si>
    <t>Jorge Barrantes Rojas</t>
  </si>
  <si>
    <t>jbarrantes@globalgmp.net</t>
  </si>
  <si>
    <t>8 am a 5 pm L-V</t>
  </si>
  <si>
    <t>Global Giempi S.A.</t>
  </si>
  <si>
    <t>IMSA</t>
  </si>
  <si>
    <t xml:space="preserve">International Marine Surveyors Associated of Costa Rica Sociedad de Responsabilidad Limitada </t>
  </si>
  <si>
    <t>OI-065</t>
  </si>
  <si>
    <t>Yacare Montero Rodríguez</t>
  </si>
  <si>
    <t>gestoracalidad@imsacostarica.com</t>
  </si>
  <si>
    <t>info@imsacostarica.com</t>
  </si>
  <si>
    <t>8313-2421</t>
  </si>
  <si>
    <t xml:space="preserve">Limón, Limón, Limón Centro, 150metros este del Banco DAVIVIENDA, en los altos de la tienda Caprichos Local #4. </t>
  </si>
  <si>
    <t>3-102-801994</t>
  </si>
  <si>
    <t>No Aplica</t>
  </si>
  <si>
    <t>Pedro Espinoza Pérez</t>
  </si>
  <si>
    <t xml:space="preserve">Puerto Limón, Barrio Quinto 75mtrs oeste de la feria del agricultor, casa cemento color terracota </t>
  </si>
  <si>
    <t>Gerencia</t>
  </si>
  <si>
    <t>08:00a.m  - 05:00p.m</t>
  </si>
  <si>
    <t>International Marine Surveyors Associated</t>
  </si>
  <si>
    <t>Se cierra expediente mediante acuerdo CA-017-2023</t>
  </si>
  <si>
    <t>KOI RAM S.A.</t>
  </si>
  <si>
    <t>OX INGENIERIA</t>
  </si>
  <si>
    <t>OI-066</t>
  </si>
  <si>
    <t>Randall Farquéz Zúñiga</t>
  </si>
  <si>
    <t>rfarquez@oxingenieria.com</t>
  </si>
  <si>
    <t>info@oxingenieria.com</t>
  </si>
  <si>
    <t>7189-6734</t>
  </si>
  <si>
    <t xml:space="preserve">Dirección: Costa Rica, San Pablo, distrito San Pablo, Calle Uriche, 100 metros norte del Pali, edificio color rojo con dorado.
           Teléfono: 7189-6734 
  Correo electrónico: rfarquez@oxingenieria.com / info@oxingenieria.com  
</t>
  </si>
  <si>
    <t xml:space="preserve">Heredia </t>
  </si>
  <si>
    <t>3-101-830958</t>
  </si>
  <si>
    <t>www.oxingenieria.com</t>
  </si>
  <si>
    <t>7-0160-0486</t>
  </si>
  <si>
    <t>Dirección: Costa Rica, San Pablo, distrito San Pablo, Calle Uriche, 100 metros norte del Pali, edificio color rojo con dorado.</t>
  </si>
  <si>
    <t>Área de contabilidad/ Randall Farquéz Zúñiga</t>
  </si>
  <si>
    <t>facturacion@oxingenieria.com</t>
  </si>
  <si>
    <t>L-V 8am-5pm</t>
  </si>
  <si>
    <t>Elecmeza S.R.L.</t>
  </si>
  <si>
    <t>OI-067</t>
  </si>
  <si>
    <t>Rebeca Zamora</t>
  </si>
  <si>
    <t>info@elecmeza.com</t>
  </si>
  <si>
    <t>rzamora@elecmeza.com</t>
  </si>
  <si>
    <t>(506) 2236-8285 / 2236-8424 / 2235-5652</t>
  </si>
  <si>
    <t>Dirección: San José, Costa Rica, Goicoechea, Calle blancos, Colonia Florida, Calle y avenidas CR 100 Latitud y Longitud, 9.9448673, –84.0655230, 75mts Oeste de Intersección FEMSA (Coca Cola), edificio a mano izquierda color gris con naranja, portón negro.</t>
  </si>
  <si>
    <t>3-102-083696</t>
  </si>
  <si>
    <t>www.elecmeza.com</t>
  </si>
  <si>
    <t>Gina Zamora Zeledón</t>
  </si>
  <si>
    <t>1-0877-0118</t>
  </si>
  <si>
    <t>casada</t>
  </si>
  <si>
    <t xml:space="preserve">Dirección: San José, Costa Rica, Goicoechea, Calle blancos, Colonia Florida, Calle y avenidas CR 100 Latitud y Longitud, 9.9448673, –84.0655230, 75mts Oeste de Intersección FEMSA (Coca Cola), edificio a mano izquierda color gris con naranja, portón negro.
</t>
  </si>
  <si>
    <t>Gestoría de Calidad</t>
  </si>
  <si>
    <t>Daisy Ramírez Jiménez</t>
  </si>
  <si>
    <t>2236-8285 / 2236-8424 / 2235-5652</t>
  </si>
  <si>
    <t>75mts Oeste de Intersección FEMSA (Coca Cola), edificio a mano izquierda color gris con naranja, portón negro.</t>
  </si>
  <si>
    <t>2236-8380</t>
  </si>
  <si>
    <t xml:space="preserve">facturas@elecmeza.com dramirez@elecmeza.com </t>
  </si>
  <si>
    <t>Lunes a Viernes, 6:30 am a 4 pm</t>
  </si>
  <si>
    <t>Acreditado 11/12/23 ECA-CA-2023-263
Suspensión total: 19/11/25</t>
  </si>
  <si>
    <t xml:space="preserve">Xkemas </t>
  </si>
  <si>
    <t>Xkemas Processus S.A.</t>
  </si>
  <si>
    <t>OI-068</t>
  </si>
  <si>
    <t>A01: 23/07/2024
A02: 22/10/2024</t>
  </si>
  <si>
    <t>sgc@xkemas.org</t>
  </si>
  <si>
    <t>8381-3203</t>
  </si>
  <si>
    <t>Plaza San Francisco, Avenida 9, Calles 15 y 17, Carmen, San José.</t>
  </si>
  <si>
    <t>3-101-603265</t>
  </si>
  <si>
    <t>www.xkemas.org</t>
  </si>
  <si>
    <t>Dirección: San José, Costa Rica, Desamparados, San Antonio, Residencial Boulevard, Casa 31 A. y Apartamentos El Retiro, calle catorce A, Barrio La Granja, San Pedro de Montes de Oca.</t>
  </si>
  <si>
    <t>Director de Calidad</t>
  </si>
  <si>
    <t xml:space="preserve">Nombre del Dpto. facturación y cobro:
Contabilidad
</t>
  </si>
  <si>
    <t>Nombre del contacto Dpto. facturación y cobro:
Willy Castro Zepeda</t>
  </si>
  <si>
    <t>2290-3114</t>
  </si>
  <si>
    <t>Apartamentos El Retiro, calle catorce A, Barrio La Granja, San Pedro de Montes de Oca</t>
  </si>
  <si>
    <t>iva@xkemas.org</t>
  </si>
  <si>
    <t>Lunes a Viernes, 9 am a 4 pm</t>
  </si>
  <si>
    <t>Activa Ingenieros</t>
  </si>
  <si>
    <t>FC Electricidad S.A.</t>
  </si>
  <si>
    <t>OI-069</t>
  </si>
  <si>
    <t>Freddy Cardenas Cruz</t>
  </si>
  <si>
    <t>cardenas@activacr.com</t>
  </si>
  <si>
    <t>88314845 / 25103536</t>
  </si>
  <si>
    <t>San Jose, Desamparados, San Miguel, Higuito</t>
  </si>
  <si>
    <t>3-101-355089</t>
  </si>
  <si>
    <t>www.activacr.com</t>
  </si>
  <si>
    <t>DE LA IGLESIA CATOLICA HIGUITO 25 m al este y 25 m al sur, San Miguel de Desamparados
cardenas@activacr.com</t>
  </si>
  <si>
    <t>Director General y verificador</t>
  </si>
  <si>
    <t>Proyectos</t>
  </si>
  <si>
    <t>Mónica Morales Cardenas</t>
  </si>
  <si>
    <t>86527933 / 25103536</t>
  </si>
  <si>
    <t>DE LA IGLESIA CATOLICA HIGUITO 25 m al este y 25 m al sur, San Miguel de Desamparados</t>
  </si>
  <si>
    <t>facturas@activacr.com / monica@activacr.com</t>
  </si>
  <si>
    <t>Lunes a Viernes 8:00am a 4:00pm</t>
  </si>
  <si>
    <t>FC Electricidad S.A.
Activa Ingenieros</t>
  </si>
  <si>
    <t>Pendiente envío de información completa</t>
  </si>
  <si>
    <t>DEKRA Costa Rica S. A</t>
  </si>
  <si>
    <t xml:space="preserve">DEKRA </t>
  </si>
  <si>
    <t>OI-070</t>
  </si>
  <si>
    <t>Yojanisen Cespedes A.</t>
  </si>
  <si>
    <t>yojanisen.cespedes@dekra.com</t>
  </si>
  <si>
    <t>raul.monge@dekra.com</t>
  </si>
  <si>
    <t>Heredia, Ulloa, Barreal 100 m este de la gasolinera UNO, Edificio DEKRA</t>
  </si>
  <si>
    <t>3-101-860392</t>
  </si>
  <si>
    <t>www.dekra.cr</t>
  </si>
  <si>
    <t>Sergio Gabriel Nogueira Parrodi</t>
  </si>
  <si>
    <t>G24504968</t>
  </si>
  <si>
    <t>Mexicano</t>
  </si>
  <si>
    <t>Ingeniero en Sistemas</t>
  </si>
  <si>
    <t>Lagunilla de Heredia, 100 m este de la gasolinera UNO, Edificio DEKRA</t>
  </si>
  <si>
    <t>maureen.ramirezviquez@dekra.com</t>
  </si>
  <si>
    <t>Gerente Regional y País</t>
  </si>
  <si>
    <t>Kartherin Quirós Arias</t>
  </si>
  <si>
    <t>24599999 ext 1017</t>
  </si>
  <si>
    <t>ap.cr@dekra.com</t>
  </si>
  <si>
    <t>Lunes a Viernes 8:00am a 5:30pm</t>
  </si>
  <si>
    <t>DEKRA Costa Rica S. A.</t>
  </si>
  <si>
    <t>OI-071</t>
  </si>
  <si>
    <t xml:space="preserve">Limón, Limón, Limón Centro, 150 metros este del Banco DAVIVIENDA, en los altos de la tienda Caprichos Local #4. </t>
  </si>
  <si>
    <t>Suspensión total 6/10/25 CA-027-2025-08</t>
  </si>
  <si>
    <t>Organismo de inspección del Laboratorio de Eficiencia Energética - ICE</t>
  </si>
  <si>
    <t>OI-072</t>
  </si>
  <si>
    <t>icelee-OI@ice.go.cr</t>
  </si>
  <si>
    <t>2000-4793</t>
  </si>
  <si>
    <t>San José, Colima de Tibás, Plantel del ICE para el organismo de inspección y calibración en variables eléctricas. 
San José, Rincón Grande de Pavas, Plantel del ICE, para ensayos y calibración de temperatura.</t>
  </si>
  <si>
    <t>www.grupoice.com</t>
  </si>
  <si>
    <t xml:space="preserve">Ing. Mantenimiento Industrial  Licenciado en Derecho y Notario  Máster en Administración de la Ing. Electrónica </t>
  </si>
  <si>
    <t>Avenida las Américas, calle 50, barrio Américas. Mata redonda 10108, Frente al Parque la Sabana. San José, Mata Redonda, Sabana Norte</t>
  </si>
  <si>
    <t>avargashe@ice.go.cr</t>
  </si>
  <si>
    <t>Cadena de abastecimiento-CCP</t>
  </si>
  <si>
    <t xml:space="preserve">Patricia Quirós Solano </t>
  </si>
  <si>
    <t>2004-5000</t>
  </si>
  <si>
    <t>Avenida las Américas, calle Luisa,  Mata redonda 10108. Diagonal al Hotel Palma Real., San José, Mata Redonda, Barrio Américas</t>
  </si>
  <si>
    <t>pquiros@ice.go.cr</t>
  </si>
  <si>
    <t>L a V 7:00 a 16:36</t>
  </si>
  <si>
    <t>KGA Ingenieros Consultores</t>
  </si>
  <si>
    <t>KGA INGENIEROS CONSULTORES SOCIEDAD DE RESPONSABILIDAD LIMITADA</t>
  </si>
  <si>
    <t>OI-073</t>
  </si>
  <si>
    <t>kgaale@hotmail.com</t>
  </si>
  <si>
    <t>8390-6651</t>
  </si>
  <si>
    <t>San José, Curridabat, 50 metros este y 25 metros sur del Archivo Nacional, contiguo a Crecex de Costa Rica.</t>
  </si>
  <si>
    <t>3-102-901-363</t>
  </si>
  <si>
    <t>Keylor Godinez Abarca</t>
  </si>
  <si>
    <t>Costa Rica, San José, Curridabat, Granadilla, Granadilla Norte, sobre ruta 306, 500 metros al este del taller wabe,</t>
  </si>
  <si>
    <t>Compras</t>
  </si>
  <si>
    <t>Lunes a viernes de 8am a 5 pm</t>
  </si>
  <si>
    <t>CONARROZ</t>
  </si>
  <si>
    <t>OI-074</t>
  </si>
  <si>
    <t>Norma de referencia: INTE-ISO 17043:2024 Evaluación de la conformidad Requisitos generales para la competencia de los proveedores de ensayos de aptitud</t>
  </si>
  <si>
    <t>Centro Nacional de Referencia de Química Clínica</t>
  </si>
  <si>
    <t xml:space="preserve">Instituto Costarricense de investigación y enseñanza en nutrición y salud </t>
  </si>
  <si>
    <t>PEA</t>
  </si>
  <si>
    <t>PEA-001</t>
  </si>
  <si>
    <t>Cartago, 100 metros oeste del Gasolinera Serv indoor, INCIENSA, Tres Ríos, La Unión</t>
  </si>
  <si>
    <t>http://www.inciensa.sa.cr/</t>
  </si>
  <si>
    <t>1 474 538</t>
  </si>
  <si>
    <t>Grettel Pereira Rivera</t>
  </si>
  <si>
    <t xml:space="preserve">Centro Nacional de Ciencia y Tecnología de Alimentos
CITA  </t>
  </si>
  <si>
    <t>PEA-002</t>
  </si>
  <si>
    <t>Vanny Mora</t>
  </si>
  <si>
    <t>rebeca.lopez@ucr.ac.cr</t>
  </si>
  <si>
    <t>2511-8832</t>
  </si>
  <si>
    <t>2253-3762</t>
  </si>
  <si>
    <t xml:space="preserve">San Pedro Montes de Oca, de la rotonda de la Betania 450 metros suroeste, Facultad de Ciencias Agroalimentarias </t>
  </si>
  <si>
    <t>4-000042149</t>
  </si>
  <si>
    <t>www.cita.ucr.ac.cr</t>
  </si>
  <si>
    <t>Fundación UCR</t>
  </si>
  <si>
    <t xml:space="preserve">FUNDEVI  </t>
  </si>
  <si>
    <t>2511-8839</t>
  </si>
  <si>
    <t>San Pedro de Montes de Oca</t>
  </si>
  <si>
    <t>8 am - 4 pm</t>
  </si>
  <si>
    <t>Retirado a partir del 5 de septiembre del 2023</t>
  </si>
  <si>
    <t xml:space="preserve">Norma de referencia: INTE-ISO/IEC 15189:2023 Laboratorios Clínicos- Requisitos para la calidad y la competencia. </t>
  </si>
  <si>
    <t>Laboratorio Clínico de la Universidad de Costa Rica</t>
  </si>
  <si>
    <t>LM</t>
  </si>
  <si>
    <t>LM-001</t>
  </si>
  <si>
    <t xml:space="preserve">LM-001-A01/ LM-001-A02 </t>
  </si>
  <si>
    <t>Dr Marco Vargas Soto /Dimelsa Suárez Chacón</t>
  </si>
  <si>
    <t xml:space="preserve">marco.vargas@lcucr.com; </t>
  </si>
  <si>
    <r>
      <rPr>
        <rFont val="Calibri"/>
        <color theme="10"/>
        <sz val="11.0"/>
      </rPr>
      <t xml:space="preserve"> </t>
    </r>
    <r>
      <rPr>
        <rFont val="Calibri"/>
        <color theme="10"/>
        <sz val="11.0"/>
        <u/>
      </rPr>
      <t>dimelsa.suarez@lcucr.com</t>
    </r>
  </si>
  <si>
    <t>2511 3530</t>
  </si>
  <si>
    <t>San José, Ciudad Universataria Rodrigo Facio, Oficina de Bienestar y Salud, contiguo a Escuela de Arquitectura, San Pedro de Montes de Oca.</t>
  </si>
  <si>
    <t>Rector de la Universidad de Costa Rica</t>
  </si>
  <si>
    <t>Juliana Porras Solis</t>
  </si>
  <si>
    <t>2511-6821</t>
  </si>
  <si>
    <t>San José, UCR, sede Rodrigo Facio, Oficina de Bienestar y Salud, Laboratorio Clínico, San Pedro de Montes de Oca</t>
  </si>
  <si>
    <t>2511-5039</t>
  </si>
  <si>
    <t xml:space="preserve"> Lunes a Viernes de 7:00 a 11:30 am y de 12:30 pm a 4:00 pm.</t>
  </si>
  <si>
    <t xml:space="preserve">14.11.2018 Reducción para la matriz “orina” para todos los métodos que la refieren, excepto para creatinina. // 27.07.2017 Reducción de ensayos en quimica clínica para Suero y Plasma para Gamma Glutamil transferasa (GGT), Creatina Kinasa (CK) y álbumina y los ensayos en Suero, Plasma y Orina Amilasa y Calcio /suspensión parcial del total de 8 ensayos del área de inmunoensayos desde el 27/08/2013 hasta el 27/11/2013.  27/08/2013 reducción del alcance de acreditación de la sede Central, para los ensayos: Amilasa. Calcio. Proteínas Totales Albumina.  Prorroga de suspensión parcial del total de 8 ensayos del área de inmunoensayos desde el 28/01/2014 hasta el 28/04/2014.   </t>
  </si>
  <si>
    <t>Laboratorio Clínico Clínica Bíblica</t>
  </si>
  <si>
    <t xml:space="preserve">Asociación de servicios médicos Costarricenses </t>
  </si>
  <si>
    <t>LM-002</t>
  </si>
  <si>
    <t>LM-002-A01</t>
  </si>
  <si>
    <t>Dra. Xinia Porras Sánchez
Julio González Morales</t>
  </si>
  <si>
    <t>xporras@clinicabiblica.com</t>
  </si>
  <si>
    <t>jgonzalezmo@clinicabiblica.com</t>
  </si>
  <si>
    <t xml:space="preserve">25221000 ext 1345/ 3102
7015-2092
8862-5633
</t>
  </si>
  <si>
    <t>2522 1000 ext 1044</t>
  </si>
  <si>
    <t>San José, Calle central y primera, Avenida 14 y 16.</t>
  </si>
  <si>
    <t>Lic. Bernal Aragón Barquero</t>
  </si>
  <si>
    <t>San José, Oficinas Centrales, Calle central y primera, Avenida 14 y 16</t>
  </si>
  <si>
    <t>Director General ASEMECO</t>
  </si>
  <si>
    <t>Marjorie Cruz Guevara</t>
  </si>
  <si>
    <t>Asociación de Servicios Médicos Costarricense ASEMECO</t>
  </si>
  <si>
    <t>25221000 ext 1165, 2165,2166, 2167, 2168</t>
  </si>
  <si>
    <t>25221000 ext 1032</t>
  </si>
  <si>
    <t>Lunes a Viernes de 8 am a 5 pm</t>
  </si>
  <si>
    <t>SUSPENSIÓN PARCIAL DE 14 ENSAYOS DESDE EL 11/06/2013 HASTA EL 16/09/2013, prorroga de suspensión total del alcance desde el 10.09.2013 hasta el 10.03.2013</t>
  </si>
  <si>
    <t>Laboratorio Clínico Coopesalud – Sede Desamparados</t>
  </si>
  <si>
    <t>Cooperativa Autogestionaria de Servicios Integrales de Salud R.L.</t>
  </si>
  <si>
    <t>LM-003</t>
  </si>
  <si>
    <t>San José, 50 m sur del
Centro Penitenciario Vilma Curling, San Rafael Arriba de Desamparados</t>
  </si>
  <si>
    <t>3-004-087662-28</t>
  </si>
  <si>
    <t>San José,Contiguo al Hospital Psiquiátrico, Clínica de Pavas, Pavas.</t>
  </si>
  <si>
    <t>Coopesalud</t>
  </si>
  <si>
    <t>LM-004</t>
  </si>
  <si>
    <t>LM-004-01</t>
  </si>
  <si>
    <t>Lic. Amarilis Durán Carrasco</t>
  </si>
  <si>
    <t>amarilis7240@gmail.com</t>
  </si>
  <si>
    <t>(809) 221-5545 Ext. 3175</t>
  </si>
  <si>
    <t>República Dominicana, Santo Domingo, Distrito Nacional, Zona Industrial de Herrera, Avenida Luperon No. 3, Frente al Parque Mirador Sur.</t>
  </si>
  <si>
    <t>101-128-542</t>
  </si>
  <si>
    <t>www.labreferencia.com</t>
  </si>
  <si>
    <t>Lic. Patricia Claudia León Michel</t>
  </si>
  <si>
    <t xml:space="preserve">Dominicana </t>
  </si>
  <si>
    <t>Lic. En Bioanálisis</t>
  </si>
  <si>
    <t xml:space="preserve"> maryse@labreferencia.com</t>
  </si>
  <si>
    <t>Lunes a viernes de 6:00 a.m. a 10:00 p.m., sábado de 6:00 a.m. a 8:00 p.m., D-F de 7:00 a.m. a 8:00 p.m.</t>
  </si>
  <si>
    <r>
      <rPr>
        <rFont val="Arial"/>
        <b/>
        <color theme="1"/>
        <sz val="12.0"/>
      </rPr>
      <t>2022.02.22</t>
    </r>
    <r>
      <rPr>
        <rFont val="Arial"/>
        <color theme="1"/>
        <sz val="12.0"/>
      </rPr>
      <t xml:space="preserve"> Levantamiento suspensión total de acreditación // 28/01/2014 otorgamiento según acuerdo de la sesión CA-002-2014-011/</t>
    </r>
    <r>
      <rPr>
        <rFont val="Arial"/>
        <b/>
        <color theme="1"/>
        <sz val="12.0"/>
      </rPr>
      <t>/De lunes a viernes: de 08:00 a.m. a 05:00 p.m.
Sábados: Trabaja la parte administrativa de 08:00 a.m. a 12:00 medio día
Domingos: Trabaja la parte técnica de 07:00 am a 12:00 de la madrugada en la sede central.</t>
    </r>
  </si>
  <si>
    <t xml:space="preserve"> Labin S.A.</t>
  </si>
  <si>
    <t xml:space="preserve">Labin Sociedad Anónima </t>
  </si>
  <si>
    <t>LM-005</t>
  </si>
  <si>
    <t>A01: 28/04/2025</t>
  </si>
  <si>
    <t>Felipe Salas Hernández</t>
  </si>
  <si>
    <t>fsalas@labinlab.com</t>
  </si>
  <si>
    <t>2586-7000</t>
  </si>
  <si>
    <t>3-101-579491</t>
  </si>
  <si>
    <t>www.labinlab.com</t>
  </si>
  <si>
    <t>Edwin de la Cruz Redmond</t>
  </si>
  <si>
    <t>1-0729-0102</t>
  </si>
  <si>
    <t>San José, Edificio Central locazlizado frente al Archivo Nacional, Zapote</t>
  </si>
  <si>
    <t>Rodrigo Chacón Fonseca</t>
  </si>
  <si>
    <t>Labin Sociedad Anónima</t>
  </si>
  <si>
    <t>2234-1007</t>
  </si>
  <si>
    <t>rchacon@labinlab.com</t>
  </si>
  <si>
    <t>Lunes a viernes 8:00 a.m.  a 4:00 p.m.</t>
  </si>
  <si>
    <t>Laboratorio Labin S.A.</t>
  </si>
  <si>
    <t>COOPESIBA</t>
  </si>
  <si>
    <t>Cooperativa de autogestión de servicios integrados de salud de Barva R.L.</t>
  </si>
  <si>
    <t>LM-006</t>
  </si>
  <si>
    <t>Paola Jiménez Mora</t>
  </si>
  <si>
    <t xml:space="preserve">yroa@dimerca.com
pjimenez@coopesiba.com </t>
  </si>
  <si>
    <t>2562-7000</t>
  </si>
  <si>
    <t>Heredia, Barva, San Roque, Calle 14, entre Avenida 1 y Avenida Central, del costado sur del parque de Barva, 700 m al oeste</t>
  </si>
  <si>
    <t>3-004-199310</t>
  </si>
  <si>
    <t>https://www.coopesiba.com/</t>
  </si>
  <si>
    <t>Oscar Abellan Villegas</t>
  </si>
  <si>
    <t xml:space="preserve">Ingeniero Agrónomo </t>
  </si>
  <si>
    <t xml:space="preserve">Proveeduría </t>
  </si>
  <si>
    <t xml:space="preserve">Alexander Chaves </t>
  </si>
  <si>
    <t xml:space="preserve">achaves@coopesiba.com </t>
  </si>
  <si>
    <t xml:space="preserve">Lunes a Viernes de 8 a 4. </t>
  </si>
  <si>
    <t>Laboratorio Histolabs</t>
  </si>
  <si>
    <t>3-101-767607 SOCIEDAD ANONIMA</t>
  </si>
  <si>
    <t>LM-007</t>
  </si>
  <si>
    <t>Aluxe Can Vargas</t>
  </si>
  <si>
    <t>info@histolabscr.com</t>
  </si>
  <si>
    <t>info@histocito.net</t>
  </si>
  <si>
    <t>8787-1066</t>
  </si>
  <si>
    <t>Local 118, Plaza San Pedro, San Pedro de Montes de Oca, San José, Costa Rica</t>
  </si>
  <si>
    <t>3-101-767607</t>
  </si>
  <si>
    <t>n/A</t>
  </si>
  <si>
    <t>1-1370-0350</t>
  </si>
  <si>
    <t xml:space="preserve">Laboratorios clínicos Echandi           </t>
  </si>
  <si>
    <t>LM-008</t>
  </si>
  <si>
    <t>Guillermo Echandi Meza</t>
  </si>
  <si>
    <t>1-0374-0516</t>
  </si>
  <si>
    <t xml:space="preserve">Microbiólogo </t>
  </si>
  <si>
    <t>labechandi@ice.co.cr</t>
  </si>
  <si>
    <t>LABORATORIO SAN JOSE</t>
  </si>
  <si>
    <t>LAB SAN JOSE HNN SOCIEDAD ANONIMA</t>
  </si>
  <si>
    <t>LM-009</t>
  </si>
  <si>
    <t>Adriana Castrillo Zúñiga</t>
  </si>
  <si>
    <t>adricastrillo@gmail.com; a.castrillo@laboratoriosanjose.com</t>
  </si>
  <si>
    <t>m.vargas@laboratoriosanjose.com</t>
  </si>
  <si>
    <t>40554141 ext. 1004</t>
  </si>
  <si>
    <t>San José, Catedral, Bella Vista, avenida 14, calle 1, frente a Clínica Bíblica, edificio de 3 pisos, oficinas administrativas Laboratorio San José.</t>
  </si>
  <si>
    <t>3-101-300161</t>
  </si>
  <si>
    <t>www.laboratoriosanjose.com</t>
  </si>
  <si>
    <t>Hugo Nuñez Navas</t>
  </si>
  <si>
    <t>1-0734-0507</t>
  </si>
  <si>
    <t>San José, Catedral, Bella Vista, avenida 14, calle 1 FRENTE A CLINICA BIBLICA, EDIFICIO DE 3 PISOS, OFICINAS ADMINISTRATIVAS LABORATORIO SAN JOSÉ</t>
  </si>
  <si>
    <t>ANGIE MENDEZ</t>
  </si>
  <si>
    <t>40554141 EXT 1008</t>
  </si>
  <si>
    <t>administracion@laboratoriosanjose.com</t>
  </si>
  <si>
    <t>L-V 7AM A 3PM</t>
  </si>
  <si>
    <t>Laboratorio San José</t>
  </si>
  <si>
    <t>Laboratorio Clinico Coopesiva R.L</t>
  </si>
  <si>
    <t>LM-010</t>
  </si>
  <si>
    <t>Jenny Paola Jiménez Mora</t>
  </si>
  <si>
    <t>pjimenez@coopesiba.cr</t>
  </si>
  <si>
    <t>oabellan@coopesiba.cr</t>
  </si>
  <si>
    <t>600 m oeste del parque de Barva. Área de salud Barva</t>
  </si>
  <si>
    <t>https://www.coopesiba.com</t>
  </si>
  <si>
    <t>Oscar Abellán Villegas</t>
  </si>
  <si>
    <t>Ingeniero Agrónomo, Máster en Administración Pública</t>
  </si>
  <si>
    <t xml:space="preserve">Tesorería y presupuesto </t>
  </si>
  <si>
    <t>Josseth Arroyo Thompson</t>
  </si>
  <si>
    <t>Del parque 600 m oeste. Área de salud Barva.</t>
  </si>
  <si>
    <t>jarroyo@coopesiba.cr</t>
  </si>
  <si>
    <t>Lunes a viernes 7:00 am a 4:00 pm</t>
  </si>
  <si>
    <t>Laboratorio Clínico Coopesiba R.L</t>
  </si>
  <si>
    <t>Se cierra CA-018-2024-06 de la sesión CA-018-2024, realizada por la Comisión de Acreditación el día 7 de junio del 2024.</t>
  </si>
  <si>
    <t>BV LABS</t>
  </si>
  <si>
    <t>EXPRES LAB</t>
  </si>
  <si>
    <t>LM-011</t>
  </si>
  <si>
    <t>MAGALLY INFANTE GONZALEZ</t>
  </si>
  <si>
    <t>dentalmagally@gmail.com</t>
  </si>
  <si>
    <t>info@bvlabs.cr, 
dentalmagally@gmail.com</t>
  </si>
  <si>
    <t>27719208- 71453631</t>
  </si>
  <si>
    <t>PLAZA DE SALUD HOLIMED CONTIGUO BUFETE MORA FRETE
A RESTAURANTE URBAN</t>
  </si>
  <si>
    <t>SAN JOSE</t>
  </si>
  <si>
    <t>CASADA</t>
  </si>
  <si>
    <t>Odontologa</t>
  </si>
  <si>
    <t>50 METROS SUR DEL ESTADIO PEREZ ZELEDON CONTIGUO
BUFETE MORA</t>
  </si>
  <si>
    <t>AUDITOR GERENTE-LIDER</t>
  </si>
  <si>
    <t>DEPARTAMENTO ADMINISTRATIVO</t>
  </si>
  <si>
    <t>JULIANA RIVERA CHAVARRIA</t>
  </si>
  <si>
    <t>50 metros sur del esatdio de perez zeledon</t>
  </si>
  <si>
    <t>factura@bvlabs.cr</t>
  </si>
  <si>
    <t>L a V de 7am a 5 pm</t>
  </si>
  <si>
    <t>Laboratorio Clínico RISU</t>
  </si>
  <si>
    <t>Laboratorio Microbilogico RISU S.A.</t>
  </si>
  <si>
    <t>LM-012</t>
  </si>
  <si>
    <t>Susanne Mathieu Valverde</t>
  </si>
  <si>
    <t>smathieu@gruporisu.com</t>
  </si>
  <si>
    <t>vsaenz@gruporisu.com</t>
  </si>
  <si>
    <t>4020-2600</t>
  </si>
  <si>
    <t>150m E del BCR, Tejar, El Guarco, Cartago. Centro Médico El Cristo</t>
  </si>
  <si>
    <t>3-101-666725</t>
  </si>
  <si>
    <t>contabilidad@gruporisu.com</t>
  </si>
  <si>
    <t>L-V 08:00 - 18:00</t>
  </si>
  <si>
    <t>COOPESAIN R.L.</t>
  </si>
  <si>
    <t>Cooperativa Autogestionaria de Servidores para la atención Integral R.L.</t>
  </si>
  <si>
    <t>LM-013</t>
  </si>
  <si>
    <t>Dra. Kattya María Jones Morales</t>
  </si>
  <si>
    <t>kjones@coopesain.sa.cr</t>
  </si>
  <si>
    <t>gerencia@coopesain.sa.cr gflores@coopesain.sa.cr</t>
  </si>
  <si>
    <t>San José, Tibás, San Juan, de la entrada Principal del Estadio Ricardo Saprissa 100 metros oeste.</t>
  </si>
  <si>
    <t>3-004-103-760</t>
  </si>
  <si>
    <t>www.coopesain.sa.cr</t>
  </si>
  <si>
    <t>Walter Zúñiga Mora</t>
  </si>
  <si>
    <t>Master en Finanzas</t>
  </si>
  <si>
    <t>Costa Rica, San José, Moravia, San Vicente, Residencial Los Estudiantes, Calle 39, Avenida 69.</t>
  </si>
  <si>
    <t>Dirección Administrativa</t>
  </si>
  <si>
    <t>Maria Bonilla Cascante</t>
  </si>
  <si>
    <t>San José, Tibás, San Juan, Calle 3, Avenida 69, de la entrada Principal del Estadio Ricardo Saprissa 100 metros oeste, Clincia Lic. Rodrigo Fournier Guevara.</t>
  </si>
  <si>
    <t>mbonilla@coopesain.sa.cr</t>
  </si>
  <si>
    <t>7 am a 4 pm</t>
  </si>
  <si>
    <t>Laboratorios Clínicos de Grupo Montecristo</t>
  </si>
  <si>
    <t>3101675402 SA</t>
  </si>
  <si>
    <t>LM-014</t>
  </si>
  <si>
    <t>Daniela Paniagua Blanco</t>
  </si>
  <si>
    <t>dpaniagua@metropolitanocr.com</t>
  </si>
  <si>
    <t>monica.chaves@metropolitanocr.com</t>
  </si>
  <si>
    <t>61772525
87367667</t>
  </si>
  <si>
    <t xml:space="preserve">San José, San José, Mata redonda, del gimnasio nacional, 100 metros este y 25 metros norte, Laboratorios Páez Sabana. </t>
  </si>
  <si>
    <t>3-101-675-402</t>
  </si>
  <si>
    <t>Marcela Porras Díaz</t>
  </si>
  <si>
    <t>Administradora de negocios</t>
  </si>
  <si>
    <t>Costa Rica, San José, Goicochea, Calle Blancos, Contiguo al centro comercial plaza San Gabriel.</t>
  </si>
  <si>
    <t>Cuentas por pagar y caja médica</t>
  </si>
  <si>
    <t>Marcia Conejo Ramírez</t>
  </si>
  <si>
    <t>22250019 ext 5615</t>
  </si>
  <si>
    <t>cxp0@grupomontecristo.com</t>
  </si>
  <si>
    <t>Lunes a Viernes: 8:00 am a 5:00 pm</t>
  </si>
  <si>
    <t>LM-015</t>
  </si>
  <si>
    <t>Norma de referencia: INTE-ISO/IEC 17024:2013 Requisitos generales para los organismos que realizan certificación de personas</t>
  </si>
  <si>
    <t>Instituto de Normas Técnicas de Costa Rica, INTECO</t>
  </si>
  <si>
    <t>OCH</t>
  </si>
  <si>
    <t>OCH-001</t>
  </si>
  <si>
    <t>Rebeca Arrones</t>
  </si>
  <si>
    <t>2283-4523</t>
  </si>
  <si>
    <t>2283-4831</t>
  </si>
  <si>
    <t>De Muñoz y Nanne 400 m norte, San Pedro de Montes de Oca, San José, Costa Rica.</t>
  </si>
  <si>
    <t>3-002-087432</t>
  </si>
  <si>
    <t>INTECO</t>
  </si>
  <si>
    <t>Asociación Instituto de Normas Técnicas de Costa Rica (INTECO), Dirección de Servicios de Evaluación: Certificación de Personas</t>
  </si>
  <si>
    <t>Asociación Instituto de Normas Técnicas de Costa Rica</t>
  </si>
  <si>
    <t>OCH-003</t>
  </si>
  <si>
    <t>OCH-006</t>
  </si>
  <si>
    <t>Alejandra Rodríguez David</t>
  </si>
  <si>
    <t>amrodriguez@inteco.org; gestion@inteco.org</t>
  </si>
  <si>
    <t>2283-4522</t>
  </si>
  <si>
    <t>San José, 300 m Norte de Muñoz &amp; Nanne, San Pedro de Montes de Oca</t>
  </si>
  <si>
    <t>Mauricio Céspedes Mirabelli</t>
  </si>
  <si>
    <t>1-0967-0965</t>
  </si>
  <si>
    <t xml:space="preserve"> Administrador de Empresas</t>
  </si>
  <si>
    <t>San José, 300 Norte de Muñoz &amp; Nanne, San Pedro de Montes de Oca</t>
  </si>
  <si>
    <t>Dirección Ejecutiva</t>
  </si>
  <si>
    <t>Departamento Administrativo Financiero</t>
  </si>
  <si>
    <t>Luis Fernando Miranda Murillo</t>
  </si>
  <si>
    <t>2283-4522 ext 261</t>
  </si>
  <si>
    <t>L-V, 8:00 a.m. a 12 m.d./1:00 p.m. a 5:00 p.m.</t>
  </si>
  <si>
    <t xml:space="preserve">Al contar con la acreditación en distintas Direcciones favor indicar el mayor detalle posible en todas las facturas. (Tipo de proceso, fecha y equipo evaluador. Para testificaciones favor indicar la organización correspondiente). </t>
  </si>
  <si>
    <t>Centro Asesor para el Desarrollo de los Recursos Humanos de Honduras CADERH</t>
  </si>
  <si>
    <t>OCH-002</t>
  </si>
  <si>
    <t>OCH-005</t>
  </si>
  <si>
    <t>Carmen Elena Zelaya</t>
  </si>
  <si>
    <t>carmen.zelaya@caderh.hn</t>
  </si>
  <si>
    <t>(504)2231-1750 / 22311575</t>
  </si>
  <si>
    <t>(504)  22325598</t>
  </si>
  <si>
    <t>Honduras, Colonia Palmira, Calle principal, Avenida República de Chile, Tegucigalpa.</t>
  </si>
  <si>
    <t>14 tomo 265</t>
  </si>
  <si>
    <t>Martha Ivonne Romero López</t>
  </si>
  <si>
    <t>0801-1966-05610</t>
  </si>
  <si>
    <t>Tegucigalpa, Honduras, Colonia Palmira, Avenida República de Chile, No. 341</t>
  </si>
  <si>
    <t>Bertha Lidia Paz</t>
  </si>
  <si>
    <t>CADERH</t>
  </si>
  <si>
    <t>Tegucigalpa, Honduras, Colonia Palmira, Calle principal, Avenida República de Chile.</t>
  </si>
  <si>
    <t>(504022325598</t>
  </si>
  <si>
    <t>8:00 a.m.- 5:00 p.m.</t>
  </si>
  <si>
    <t xml:space="preserve">Reducción de alcance para la certificación de ALBAÑIL </t>
  </si>
  <si>
    <t>Xkemas Processus Sociedad Anónima</t>
  </si>
  <si>
    <t>XKEMAS PROCESSUS SOCIEDAD ANONIMA</t>
  </si>
  <si>
    <t>OCH-004</t>
  </si>
  <si>
    <t>Karol Susana Chaves Rivera</t>
  </si>
  <si>
    <t>1-0840-0913</t>
  </si>
  <si>
    <t>PENDIENTE</t>
  </si>
  <si>
    <t>pendiente</t>
  </si>
  <si>
    <t>San Antonio de Desamparados, Urbanización Boulevard</t>
  </si>
  <si>
    <t xml:space="preserve">pendiente </t>
  </si>
  <si>
    <t>n/a</t>
  </si>
  <si>
    <t>Organismo de Certificación de Personas de Programa de Estudios en Calidad, Ambiente y Metrología PROCAME</t>
  </si>
  <si>
    <t xml:space="preserve">Norma de referencia: INTE-ISO/IEC 17065:2013 Requisitos para organismos que certifican productos, procesos y servicios </t>
  </si>
  <si>
    <t>Asociación Instituto de Normas Técnicas de Costa Rica (INTECO), Organismo de Certificación de Productos, Procesos y Servicios</t>
  </si>
  <si>
    <t>OCP</t>
  </si>
  <si>
    <t>OCP-001</t>
  </si>
  <si>
    <t>OCP-002</t>
  </si>
  <si>
    <t>OCP-002-A01 /  OCP-002-A02 / OCP-002-A03</t>
  </si>
  <si>
    <t xml:space="preserve"> Francheska Chaves Areas</t>
  </si>
  <si>
    <t>fchaves@inteco.org</t>
  </si>
  <si>
    <t>gestion@inteco.org</t>
  </si>
  <si>
    <t>2283-4522 ext 243</t>
  </si>
  <si>
    <t>San José, 300  m Norte de Muñoz &amp; Nanne, San Pedro de Montes de Oca</t>
  </si>
  <si>
    <t>10.11.2015 Reducción de alcance para el producto Cemento y Yeso, normas ASTM C 150 Standard Specification for Portland Cement</t>
  </si>
  <si>
    <t>Certificaciones Internacionales de Calidad CIC</t>
  </si>
  <si>
    <t>OCP-003</t>
  </si>
  <si>
    <t>OCP-003-A01</t>
  </si>
  <si>
    <t>Fernando Hernández Gámez</t>
  </si>
  <si>
    <t>lpazos45@gmail.com; cultivosyasesorias@yahoo.com</t>
  </si>
  <si>
    <t>2524 1096 / 2224 5342 / 8844 1115</t>
  </si>
  <si>
    <t>2234 3096</t>
  </si>
  <si>
    <t>San José, 125 m sur de la Estación de servicio El Higueron, frente venta de autos, San Pedro de Montes de Oca</t>
  </si>
  <si>
    <t>3-102-561-334</t>
  </si>
  <si>
    <t>Liliana Pazos Sanou</t>
  </si>
  <si>
    <t>Microbiologa</t>
  </si>
  <si>
    <t>San José, 125 sur de la Estación de servicio El Higueron, frente venta de autos, San Pedro de Montes de Oca</t>
  </si>
  <si>
    <t>Phillip Cover Pazos</t>
  </si>
  <si>
    <t>2524 1096</t>
  </si>
  <si>
    <t>Retiro de la acreditración a partir del 22.06.2016</t>
  </si>
  <si>
    <t>OCP-004</t>
  </si>
  <si>
    <t>Santo Domingo, Avenida Independecia, Esquina Larimar #58, km 7 1/2 de la Sanchez</t>
  </si>
  <si>
    <t>Certificadora de Productos Orgánicos Eco-LOGICA S.A.</t>
  </si>
  <si>
    <t>Philippe Descamps</t>
  </si>
  <si>
    <t>22976676 88234563</t>
  </si>
  <si>
    <t>San José, Barrio Montelimar, del costado oeste de los Tribunales  600 m norte, 100 m este y 25 m norte, Guadalupe de Goicoechea.</t>
  </si>
  <si>
    <t>3-101-203529</t>
  </si>
  <si>
    <t>María Gabriela Soto Muñoz</t>
  </si>
  <si>
    <t>Ingeniera agrónoma</t>
  </si>
  <si>
    <t>San José, Barrio Montelimar, del costado oeste de los Tribunales  600 norte, 100 este y 25 norte, Guadalupe de Goicoechea.</t>
  </si>
  <si>
    <t>Presidenta de la junta directiva y directora ejecutiva</t>
  </si>
  <si>
    <t>Yorleni Zamora</t>
  </si>
  <si>
    <t>Certificadora de Productos Orgánicos EcoLOGICA</t>
  </si>
  <si>
    <t>22354592  22976676</t>
  </si>
  <si>
    <t>8 am - 5 pm</t>
  </si>
  <si>
    <t>Certificadora de Productos Orgánicos Eco-LOGICA Sociedad Anónima</t>
  </si>
  <si>
    <t>OCP-005</t>
  </si>
  <si>
    <t>OCP-008</t>
  </si>
  <si>
    <t>Dania Zúñiga/Tirsa Picado Calvo</t>
  </si>
  <si>
    <t>dzuniga@eco-logica.com</t>
  </si>
  <si>
    <t>tpicado@eco-logica.com; pdescamps@eco-logica.com; gabisoto@eco-logica.com</t>
  </si>
  <si>
    <t>2297 6676/8409 1836</t>
  </si>
  <si>
    <t>San José, 400 m Norte, 100 m  Noreste y 250 m Oeste de la Corte de Guadalupe, Goicohechea.</t>
  </si>
  <si>
    <t>1-0552-0411</t>
  </si>
  <si>
    <t>Ingeniera Agrónoma</t>
  </si>
  <si>
    <t>400 m Norte, 100 m Noreste y 250 m Oeste de la Corte de Goicoechea, San José, Costa Rica</t>
  </si>
  <si>
    <t>2297 6676</t>
  </si>
  <si>
    <t>2235 1638</t>
  </si>
  <si>
    <t>Comer Libre de Nuevo</t>
  </si>
  <si>
    <t xml:space="preserve">Comer Libre de Nuevo Sociedad Anónima </t>
  </si>
  <si>
    <t>OCP-006</t>
  </si>
  <si>
    <t>OCP-009</t>
  </si>
  <si>
    <t>Thamy Meza Marroquin</t>
  </si>
  <si>
    <t>info@mundoceliacocr.com</t>
  </si>
  <si>
    <t>tmeza@mundoceliacocr.com</t>
  </si>
  <si>
    <t>8704-7644</t>
  </si>
  <si>
    <t>San José,  100 m oeste de la Pops de Barrio Dent, edificio esquinero blanco con muro de piedra, Oficentro Dent Internacional, Montes de Oca, San Pedro</t>
  </si>
  <si>
    <t>3-101-535765</t>
  </si>
  <si>
    <t>www.mundoceliacocr.com</t>
  </si>
  <si>
    <t>Licenciada en medicina</t>
  </si>
  <si>
    <t>Andrea Castillo Córdoba</t>
  </si>
  <si>
    <t>Comer Libre de Nuevo S.A.</t>
  </si>
  <si>
    <t>2253-2314</t>
  </si>
  <si>
    <t>escribanos@tharosaludable.com</t>
  </si>
  <si>
    <t>08,00-12,00 y 13,00-17,00 Los miércoles se tramita factura</t>
  </si>
  <si>
    <t>. Retiro de acreditación a aprtir del 28/01/2019     Los miércoles se tramita factura</t>
  </si>
  <si>
    <t>Primus Auditing Operation de Costa Rica Sociedad Anónima</t>
  </si>
  <si>
    <t>OCP-007</t>
  </si>
  <si>
    <t>OCP-010</t>
  </si>
  <si>
    <t>Adriana Chacón</t>
  </si>
  <si>
    <t xml:space="preserve">achacon@pao-cr.com
</t>
  </si>
  <si>
    <t>paocostarica@primusauditingops.com; nvargas@pao-cr.com</t>
  </si>
  <si>
    <t>2269-4091/2269-4082</t>
  </si>
  <si>
    <t>Heredia, Urbanización Vista Flor, San Pedro, Santa Bárbara</t>
  </si>
  <si>
    <t>3-101-693081</t>
  </si>
  <si>
    <t>https://primusauditingops.com</t>
  </si>
  <si>
    <t>Adriana Chacón Sancho</t>
  </si>
  <si>
    <t>1-0171-0836</t>
  </si>
  <si>
    <t xml:space="preserve">Ingeniera agrónoma </t>
  </si>
  <si>
    <t>Gerente General /Apoderado Generalísimo</t>
  </si>
  <si>
    <t>PrimusLabs.com CR S.A</t>
  </si>
  <si>
    <t>2269-4081</t>
  </si>
  <si>
    <t>PrimusLab.com CR S.A.</t>
  </si>
  <si>
    <t>Organismo de Certificación de Producto Asociación de Normalización y Certificación,S.A. de C.V</t>
  </si>
  <si>
    <t>Asociación de Normalización y Certificación, S.A. de C.V. ANCE</t>
  </si>
  <si>
    <t>OCP-011</t>
  </si>
  <si>
    <t>OCP-011-A01, OCP-011-A02, OCP-011-A03, A06: 7/07/2024, A07: 12/08/2024</t>
  </si>
  <si>
    <t>Rodrigo López Rangel</t>
  </si>
  <si>
    <t>rodrigo.lopez@ance.org.mx</t>
  </si>
  <si>
    <t>judith.gonzalez@ance.org.mx; fflores@ance.org.mx</t>
  </si>
  <si>
    <t xml:space="preserve">México </t>
  </si>
  <si>
    <t>Faustino Flores Chacon</t>
  </si>
  <si>
    <t>G31096916</t>
  </si>
  <si>
    <t xml:space="preserve">(+ 52) 55 5747 4550  </t>
  </si>
  <si>
    <t>UL de México, S.A de C.V.</t>
  </si>
  <si>
    <t>UL de México, S. A. de C. V.</t>
  </si>
  <si>
    <t>OCP-012</t>
  </si>
  <si>
    <t xml:space="preserve">A-01: 09/10/2024 </t>
  </si>
  <si>
    <t>María de Lourdes Cuéllar Carmona</t>
  </si>
  <si>
    <t>lourdes.cuellar@ul.com</t>
  </si>
  <si>
    <t xml:space="preserve">rebeca.navarrete@ul.com
abel.primo@ul.com
</t>
  </si>
  <si>
    <t>(+ 52)-55-3000-5433</t>
  </si>
  <si>
    <t xml:space="preserve">Blas Pascal 205 piso 3.Col. Polanco I Sección Alcaldía Miguel Hidalgo, 11510 Ciudad de México, México. 
Col. Los Morales 
11510 Ciudad de México, México
</t>
  </si>
  <si>
    <t>Ciuidad de México</t>
  </si>
  <si>
    <t>UME-9502089I0</t>
  </si>
  <si>
    <t>ul.com</t>
  </si>
  <si>
    <t>Salvador Vilchis Morales</t>
  </si>
  <si>
    <t>Contador Público</t>
  </si>
  <si>
    <t xml:space="preserve">Blas Pascal 205 piso 3.Col. Polanco I Sección Alcaldía Miguel Hidalgo, 11510 Ciudad de México, México. </t>
  </si>
  <si>
    <t>Gerente de Finanzas</t>
  </si>
  <si>
    <t>Roxana Díaz</t>
  </si>
  <si>
    <t>(+ 52) 55-300-5412</t>
  </si>
  <si>
    <t>roxana.diaz@ul.com</t>
  </si>
  <si>
    <t>7:00 a 16:00 hrs</t>
  </si>
  <si>
    <t>UL de México</t>
  </si>
  <si>
    <t>Kiwa BCS Costa Rica Limitada</t>
  </si>
  <si>
    <t>OCP-013</t>
  </si>
  <si>
    <t xml:space="preserve"> OCP-013-A01</t>
  </si>
  <si>
    <t>Carlos Humberto González Guerrero</t>
  </si>
  <si>
    <t>Humberto.gonzalez@kiwa.com; Sue.Wei@kiwa.com;  evelyn.hernandez@kiwa.com</t>
  </si>
  <si>
    <t xml:space="preserve"> evelyn.hernandez@kiwa.com</t>
  </si>
  <si>
    <t>00 (506) 22412794
00 (506) 87136278</t>
  </si>
  <si>
    <t>Calle 14, entre avenidas 63 y 65, San Juan de Tibás, San José Costa Rica</t>
  </si>
  <si>
    <t>3-102-714408</t>
  </si>
  <si>
    <t>https://www.kiwa.com/lat/es/</t>
  </si>
  <si>
    <t>1 0856 0695</t>
  </si>
  <si>
    <t>Ingeniero agrónomo</t>
  </si>
  <si>
    <t>Calle 14, entre avenidas 63 y 65, San Juan de
Tibás, San José Costa Rica</t>
  </si>
  <si>
    <t>Facturación Kiwa Costa Rica</t>
  </si>
  <si>
    <t>Elizabeth Baltodano</t>
  </si>
  <si>
    <t>00 506 22412794</t>
  </si>
  <si>
    <t>Elizabeth.Baltodano@kiwa.lat</t>
  </si>
  <si>
    <t>8:30 am a 4:30 pm</t>
  </si>
  <si>
    <t>Pacific Control S. A. C.</t>
  </si>
  <si>
    <t>OCP-017</t>
  </si>
  <si>
    <t>Patricia Paola Condori Mita</t>
  </si>
  <si>
    <r>
      <rPr>
        <rFont val="Calibri"/>
        <color theme="10"/>
        <sz val="12.0"/>
      </rPr>
      <t>  </t>
    </r>
    <r>
      <rPr>
        <rFont val="Calibri"/>
        <color theme="10"/>
        <sz val="12.0"/>
        <u/>
      </rPr>
      <t>calidad1@pacificcontrol.us</t>
    </r>
  </si>
  <si>
    <t xml:space="preserve">gerencia@pacificcontrol.us 
certificacion@pacificcontrol.us </t>
  </si>
  <si>
    <t>(+51) 955039860/ 963 116 717</t>
  </si>
  <si>
    <t>Perú</t>
  </si>
  <si>
    <t>Perú, Lima, Villa El Salvador, Asociación Santa Rosa de Llanavilla, Mz Q Lote 7-8, Kilómetro 23.5 de la Panamericana Sur</t>
  </si>
  <si>
    <t>www.pacificcontrol.us</t>
  </si>
  <si>
    <t>Diana del Carmen García Bonilla</t>
  </si>
  <si>
    <t>C295048</t>
  </si>
  <si>
    <t>Peruana</t>
  </si>
  <si>
    <t>Panamericana sur km 23,5 Santa Rosa de Llanavilla MZ. Q Lote 07 y 08 – Villa El Salvador</t>
  </si>
  <si>
    <t>Facturación</t>
  </si>
  <si>
    <t>Willy Juricco Romero Rivas</t>
  </si>
  <si>
    <t>(51) 1 660-2323 anexo 114</t>
  </si>
  <si>
    <t>Panamericana sur km 23,5 km Villa El Salvador, Lima, Perú.</t>
  </si>
  <si>
    <t>facturacion@balticcontrol.us</t>
  </si>
  <si>
    <t>8:00 am - 6:00 pm</t>
  </si>
  <si>
    <t>Baltic Control, Calidad y Medio Ambiente, Laboratorios y Certificaciones S.A.C.</t>
  </si>
  <si>
    <t>Compliance PCS Latinoamericana S.A.</t>
  </si>
  <si>
    <t>OCP-016</t>
  </si>
  <si>
    <t>Marco Vinicio Arias Castillo</t>
  </si>
  <si>
    <t>m.arias@pva-approvals.com</t>
  </si>
  <si>
    <t>info@pcs-latam.net</t>
  </si>
  <si>
    <t>2101-7575</t>
  </si>
  <si>
    <t>Heredia, Heredia, Heredia, Calle 10, Avenida 2, 100 metros Este del Palacio de los Deportes, Local esquinero, color verde con blanco</t>
  </si>
  <si>
    <t>3-101-359755</t>
  </si>
  <si>
    <t>www.pcs.latam.net</t>
  </si>
  <si>
    <t>1-0700-0809</t>
  </si>
  <si>
    <t>Gerente / Secretario</t>
  </si>
  <si>
    <t>Johanna Carvajal Acuña</t>
  </si>
  <si>
    <t>j.carvajal@pcs-latam.net</t>
  </si>
  <si>
    <t>Lunes a viernes de 8 am a 5 pm.</t>
  </si>
  <si>
    <t>Compliance PCS Latinoamericana</t>
  </si>
  <si>
    <t>ACI Auditoría y Consultoría Integral S.A.</t>
  </si>
  <si>
    <t>OCP-014</t>
  </si>
  <si>
    <t xml:space="preserve">Roy Arturo Paniagua Monge </t>
  </si>
  <si>
    <t>roypaniagua@cfia.or.cr roy@acicostarica.com</t>
  </si>
  <si>
    <t>San José, Montes de Oca, Sabanilla, Cedros, C107- A 005ª, Ruta 203 N°11504 Condominio Arandas, Filial No. 28, casa # 128, color beige, mano izquierda.</t>
  </si>
  <si>
    <t>3-101-804902</t>
  </si>
  <si>
    <t>Gerardo Enrique Porras Garita
Esteban Alonso Monge Monge</t>
  </si>
  <si>
    <t>1-04030-640
1-1000-0185</t>
  </si>
  <si>
    <t>Divorciado
Soltero</t>
  </si>
  <si>
    <t>Costarricenses</t>
  </si>
  <si>
    <t>ingeniero industrial
ingeniero agronomo</t>
  </si>
  <si>
    <t>Evaluador</t>
  </si>
  <si>
    <t>Gerardo E Porras</t>
  </si>
  <si>
    <t>consulting@gep.cr</t>
  </si>
  <si>
    <t>Lunes a viernes de 8 a 3 pm</t>
  </si>
  <si>
    <t>Mayacert S.A</t>
  </si>
  <si>
    <t>Bernal Gutiérrez Gutiérrez</t>
  </si>
  <si>
    <t>mayacertcostarica@ymail.com</t>
  </si>
  <si>
    <t>bernal.gutierrez@mayacert.com</t>
  </si>
  <si>
    <t>Heredia, Central, San Francisco, del costado sur del Mall Oxígeno, 100 m sur y 50 m oeste, Calle Cornelia, casa estilo típico, blanco con azul.</t>
  </si>
  <si>
    <t>3-101-521930</t>
  </si>
  <si>
    <t>Tesorero</t>
  </si>
  <si>
    <t>Bernal Gutiérrez</t>
  </si>
  <si>
    <t>San Francisco Heredia. Del costado sur del mall Oxígeno, 100 mts sur y 50 mts oeste.</t>
  </si>
  <si>
    <t>9 am a 5 pm</t>
  </si>
  <si>
    <t>Seidy indica que no han presentado la solicitud de acreditación.</t>
  </si>
  <si>
    <t>CSA GROUP TESTING &amp; CERTIFICATION INC</t>
  </si>
  <si>
    <t>CSA Group Korea Ltd.</t>
  </si>
  <si>
    <t>OCP-015</t>
  </si>
  <si>
    <t>A05: 12/08/2024</t>
  </si>
  <si>
    <t>Polux Sanchez Reyes</t>
  </si>
  <si>
    <t>poluxsanchez.reyes@csagroup.org</t>
  </si>
  <si>
    <t>joseluis.hernandez@csagroup.org</t>
  </si>
  <si>
    <t>+82 2 6371 6032</t>
  </si>
  <si>
    <t>Corea del Sur</t>
  </si>
  <si>
    <t>494 WIRYESUNHWAN-RO, SONGPA-GU, SEOUL, 05814, REPUBLIC OF KOREA</t>
  </si>
  <si>
    <t>Seul</t>
  </si>
  <si>
    <t>110114-0274304</t>
  </si>
  <si>
    <t>https://www.csagroup.org</t>
  </si>
  <si>
    <t>Wan-I Hung  cc Frances Hung</t>
  </si>
  <si>
    <t>China</t>
  </si>
  <si>
    <t>Ciencia de la computación</t>
  </si>
  <si>
    <t>494, Wiryesunhwan-ro, Songpa-gu, Seoul, Republic of Korea</t>
  </si>
  <si>
    <t>Procurement</t>
  </si>
  <si>
    <t>Sherri Tran</t>
  </si>
  <si>
    <t>Brydon drive y Martin Grove rd,  Edificio con ventanales con el logo de CSA GROUP en el exterior, 178 Rexdale Boulevard, M9W 1R3, Ontario, Toronto Canadá</t>
  </si>
  <si>
    <t>procurement@csagroup.org</t>
  </si>
  <si>
    <t>9:00 am – 4:00 pm</t>
  </si>
  <si>
    <t>A01</t>
  </si>
  <si>
    <t xml:space="preserve">86 20 87320648 </t>
  </si>
  <si>
    <t>No. 10 Ke Yan Road, Guangzhou Science Park, Huang Pu District, Guangzhou, China 510663</t>
  </si>
  <si>
    <t>Guandong</t>
  </si>
  <si>
    <t>91440000678882764E</t>
  </si>
  <si>
    <t>www.csagroup.org</t>
  </si>
  <si>
    <t>Yanqing (Nancy) Ge</t>
  </si>
  <si>
    <t>EH22I54I9</t>
  </si>
  <si>
    <t>No Indica</t>
  </si>
  <si>
    <t>Empresaria</t>
  </si>
  <si>
    <t>178 Rexdale blvd, Toronto ON, M9W 1R3 Canada</t>
  </si>
  <si>
    <t xml:space="preserve"> procurement@csagroup.org </t>
  </si>
  <si>
    <t>CSA</t>
  </si>
  <si>
    <t>Contrato por ampliación en Sede en China</t>
  </si>
  <si>
    <t>Mina Lu Certification S. de R.L</t>
  </si>
  <si>
    <t>Mina Lu Certification Sociedad de Responsabilidad Limitada</t>
  </si>
  <si>
    <t>OCP-018</t>
  </si>
  <si>
    <t>Jeaneth Beatriz Baquedano Hernández</t>
  </si>
  <si>
    <t>minalu.certification@gmail.com</t>
  </si>
  <si>
    <t>jeaneth.baquedano@minalu.org</t>
  </si>
  <si>
    <t>´+(504) 3267 2701</t>
  </si>
  <si>
    <t>2 anillo periférico, 20 calle Costa del Este 4 Etapa, Bloque 19 Casa 13, San Pedro Sula, Cortes, Honduras</t>
  </si>
  <si>
    <t>0501 - 1922 - 370634</t>
  </si>
  <si>
    <t>www.minaluhn.com</t>
  </si>
  <si>
    <t>051 - 1991 - 05905</t>
  </si>
  <si>
    <t>Delineante Técnico</t>
  </si>
  <si>
    <t>4ta etapa bloque 19, lote 13, Segundo Anillo, Calle 20, Costa del Este, San Pedro Sula, Cortéz, Honduras.</t>
  </si>
  <si>
    <t>´+504 3267 - 2701</t>
  </si>
  <si>
    <t>contabilidad@minalu.org</t>
  </si>
  <si>
    <t>Mina Lu Certification S de R.L.</t>
  </si>
  <si>
    <t>FRUNO</t>
  </si>
  <si>
    <t>NARGALLO DEL ESTE S.A.</t>
  </si>
  <si>
    <t>ORLANDO MOYA GONZÁLEZ</t>
  </si>
  <si>
    <t>orlando.moya@fruno.com</t>
  </si>
  <si>
    <t>german.naranjo@fruno.com</t>
  </si>
  <si>
    <t>ZONA FRANCA SARET, EDIFICIO E3, ALAJUELA, RIO SEGUNDO</t>
  </si>
  <si>
    <t>www.fruno.com</t>
  </si>
  <si>
    <t>GERMAN MICHAEL NARANJO GALLONI</t>
  </si>
  <si>
    <t>1-0769-0295</t>
  </si>
  <si>
    <t>GERENTE HOMOLOGACIONES</t>
  </si>
  <si>
    <t>CARLOS BUSTAMANTE VILLAREAL</t>
  </si>
  <si>
    <t>carlos.bustamante@fruno.com</t>
  </si>
  <si>
    <t>9 am - 5 pm</t>
  </si>
  <si>
    <t>BIOMATECH</t>
  </si>
  <si>
    <t>BIOMATECH ENGINEERING LTDA</t>
  </si>
  <si>
    <t>OCP-021</t>
  </si>
  <si>
    <t>Marco Chaves Flores</t>
  </si>
  <si>
    <t>marco.chaves@biomatec.net</t>
  </si>
  <si>
    <t>gustavo.soto@biomatec.net</t>
  </si>
  <si>
    <t>Costa Rica, San José, Curridabat, 11801, 100 mts sur y 25 oeste de la Pops</t>
  </si>
  <si>
    <t>3-102-531-641</t>
  </si>
  <si>
    <t>WWW.BIOMATEC.NET</t>
  </si>
  <si>
    <t>Costa Rica, San José, Vázquez de Coronado, Cascajal, Sinaí, Ruta 307 y Calle Pinares, 50 mts este Super Ofertas, portón negro a mano izquierda, entrada angosta, techo de teja.</t>
  </si>
  <si>
    <t>CICR - AEC (Área de Evaluación de la Conformidad de la Cámara de Industrias de Costa Rica)</t>
  </si>
  <si>
    <t>Asociación Cámara de Industrias de Costa Rica</t>
  </si>
  <si>
    <t>OCP-022</t>
  </si>
  <si>
    <t>Rodrigo Jiménez Thomas</t>
  </si>
  <si>
    <t>rjimenez@cicr.com</t>
  </si>
  <si>
    <t>tperalta@cicr.or.cr
sarias@cicr.com</t>
  </si>
  <si>
    <t>2202-5631
2202-5600</t>
  </si>
  <si>
    <t>2234-6163</t>
  </si>
  <si>
    <t>Costa Rica, San José, Montes de Oca, San Pedro, Los Yoses, Ruta nacional 39 circunvalación, avenida 12a, 350 m Sur de la Fuente de la Hispanidad.</t>
  </si>
  <si>
    <t>3-002-042-023</t>
  </si>
  <si>
    <t>www.cicr.com</t>
  </si>
  <si>
    <t>Carlos Montenegro Godínez</t>
  </si>
  <si>
    <t>tperalta@cicr.or.cr</t>
  </si>
  <si>
    <t>María Fernanda Obando</t>
  </si>
  <si>
    <t>Dirección Administrativa y Financiera</t>
  </si>
  <si>
    <t>2202-5621</t>
  </si>
  <si>
    <t>tesoreria@cicr.com</t>
  </si>
  <si>
    <t>CICR - AEC</t>
  </si>
  <si>
    <t>Kirĕ Certifications S.A.</t>
  </si>
  <si>
    <t>OCP-023</t>
  </si>
  <si>
    <t>Lorena Carballo Batista</t>
  </si>
  <si>
    <t>4training@kirecertifications.com</t>
  </si>
  <si>
    <t>management@kirecertifications.com</t>
  </si>
  <si>
    <t>83408924
88600871</t>
  </si>
  <si>
    <t>Costa Rica, Alajuela, San Carlos, Pital, 75 S. del Templo Católico.</t>
  </si>
  <si>
    <t>www.kirecertifications.com</t>
  </si>
  <si>
    <t>Carlos Roberto Montero Álvarez</t>
  </si>
  <si>
    <t>2-0613-0957</t>
  </si>
  <si>
    <t>Financiero</t>
  </si>
  <si>
    <t>Marvin Soza</t>
  </si>
  <si>
    <t>finance@kirecertifications.com</t>
  </si>
  <si>
    <t>L-V 8 am a 5 pm</t>
  </si>
  <si>
    <t xml:space="preserve">Norma de referencia: INTE-ISO/IEC 17021-9:2018 Requisitos Generales para los organismos que realizan la auditoría y la certificación de sistemas de gestión </t>
  </si>
  <si>
    <t>Asociación Instituto de Normas Técnicas de Costa Rica (INTECO), Dirección de Certificación de Sistemas de Gestión</t>
  </si>
  <si>
    <t>OCSG</t>
  </si>
  <si>
    <t>OCSG-001</t>
  </si>
  <si>
    <t xml:space="preserve">A01: 24/05/2016
A02: 17/05/2017
A03: 22/12/2017
A04: 14/03/2018
A05: 17/09/2018
A06: 4/10/2019
A07: 12/09/2025
A08: 23/01/2023
A09: 22/05/2023
A10: 01/02/2024
A11: 07/05/2024
A12: 25/11/2024
A13: 24/02/2025  </t>
  </si>
  <si>
    <t>4080 6490 ext 134</t>
  </si>
  <si>
    <t>Dirección de Certificación-Instituto Colombiano de Normas Técnicas y Certificación-ICONTEC</t>
  </si>
  <si>
    <t>OCSG-002</t>
  </si>
  <si>
    <t>OCSG-003</t>
  </si>
  <si>
    <t>Alvaro Perdomo Burgos</t>
  </si>
  <si>
    <t>aperdomo@icontec.org; ffajardo@icontec.org;</t>
  </si>
  <si>
    <t>57-1-6078888</t>
  </si>
  <si>
    <t>57-1-2221435</t>
  </si>
  <si>
    <t>Colombia</t>
  </si>
  <si>
    <t>Carrera 37 No. 52-95, Bogotá, D.C.,Colombia</t>
  </si>
  <si>
    <t>S0002698</t>
  </si>
  <si>
    <t>ICONTEC</t>
  </si>
  <si>
    <t>EARTH</t>
  </si>
  <si>
    <t>Dr. Edmundo Castro Jiménez</t>
  </si>
  <si>
    <t>edcastro@earth.ac.cr;  micampos@earth.ac.cr;</t>
  </si>
  <si>
    <t>2713-0000</t>
  </si>
  <si>
    <t>2713-0001</t>
  </si>
  <si>
    <t>Las Mercedes de Guácimo, Limón</t>
  </si>
  <si>
    <t>OCICERT Centroamérica y el Caribe S.A.</t>
  </si>
  <si>
    <t>OCSG-004</t>
  </si>
  <si>
    <t>Melany Araya R./ Alfredo González Aguilar/Randall Dorado</t>
  </si>
  <si>
    <t>maraya@ociworldwide.com; agonzalez@ociworldwide.com; rdorado@ociworldwide.com</t>
  </si>
  <si>
    <t>2296-5803/     
 2296-5793</t>
  </si>
  <si>
    <t>Plaza Galerías Rohrmoser, costado este Plaza Mayor, Pavas San José</t>
  </si>
  <si>
    <t>OCSG-005</t>
  </si>
  <si>
    <t>OCICERT CENTROAMERICA Y EL CARIBE, S.A.</t>
  </si>
  <si>
    <t>OCSGC-006</t>
  </si>
  <si>
    <t>Randall Dorado Ureña</t>
  </si>
  <si>
    <t>2296-5803</t>
  </si>
  <si>
    <t>3-101-557625</t>
  </si>
  <si>
    <t>Rohrmoser, Costado Este de Plaza Mayor, Galerías Rohrmoser Oficina # 3</t>
  </si>
  <si>
    <t>Stephanie Tapia</t>
  </si>
  <si>
    <t>OCICERT</t>
  </si>
  <si>
    <t>07:00:00 a.m. a 05:00 pm</t>
  </si>
  <si>
    <t>Elite Certifications Pvt Ltd </t>
  </si>
  <si>
    <t>OCSGC-007</t>
  </si>
  <si>
    <t>Mr. Deepak Kherwal</t>
  </si>
  <si>
    <t>91-120-3009130</t>
  </si>
  <si>
    <t>India</t>
  </si>
  <si>
    <t> C-52, Level 1st, Sector-02, Nodia 201301, Uttar Pradesh, India </t>
  </si>
  <si>
    <t>U74900DL2008PTC174003</t>
  </si>
  <si>
    <t>Mr. Gaurav Mehlotra</t>
  </si>
  <si>
    <t>AMOPM8613K</t>
  </si>
  <si>
    <t> Auditor</t>
  </si>
  <si>
    <t>C-52, Level 1st, Sector-02, Nodia 201301, Uttar Pradesh, India  </t>
  </si>
  <si>
    <t>Elite Certifications Pvt Ltd</t>
  </si>
  <si>
    <t>C-52, Level 1st, Sector-02, Nodia 201301, Uttar Pradesh, India </t>
  </si>
  <si>
    <t>SGS Panama Control Services Inc. Con nombre comercial SGS Central America.</t>
  </si>
  <si>
    <t>OCSG-008</t>
  </si>
  <si>
    <t>OCSG-007</t>
  </si>
  <si>
    <t>Lourdes del C. Muñoz Luna</t>
  </si>
  <si>
    <t>(507) 317-4800 ext: 130</t>
  </si>
  <si>
    <t>(507) 317-0810</t>
  </si>
  <si>
    <t>Panamá, Calle Ovidio Saldaña No. 235, Piso 1, local 1A. Ciudad del Saber, Clayton, Ciudad de Panamá.</t>
  </si>
  <si>
    <t>17993-58-168348 DV 32</t>
  </si>
  <si>
    <t xml:space="preserve">Willem Jacobus Van Strien </t>
  </si>
  <si>
    <t>BM0CK5CC2</t>
  </si>
  <si>
    <t>Holandes</t>
  </si>
  <si>
    <t xml:space="preserve">Managing Director </t>
  </si>
  <si>
    <t>Leisla  Bourdett</t>
  </si>
  <si>
    <t>SGS Panama Control Services Inc.</t>
  </si>
  <si>
    <t>2296-2733</t>
  </si>
  <si>
    <t>Oficentro La Sabana Torre Piso 3, oficina 13-1, San José</t>
  </si>
  <si>
    <t>2296-2743</t>
  </si>
  <si>
    <t>8:00 a.m. -5:00 p.m.</t>
  </si>
  <si>
    <t>Retiro de acreditación 05.02.2018</t>
  </si>
  <si>
    <t xml:space="preserve">Universal  Quality Standards Registrar  </t>
  </si>
  <si>
    <t>OCSG-009</t>
  </si>
  <si>
    <t>S. Shekhar</t>
  </si>
  <si>
    <t>uqsrgroup@gmail.com</t>
  </si>
  <si>
    <t>info@uqsr.org</t>
  </si>
  <si>
    <t>B-5, Ansal Cehmber II, Bhikaji Cama Place New Delhi 110066</t>
  </si>
  <si>
    <t>New Delhi</t>
  </si>
  <si>
    <t>www.uqsr.org</t>
  </si>
  <si>
    <t xml:space="preserve">Q.S.I. Auditing &amp; Certification Services, S.A.   </t>
  </si>
  <si>
    <t>OCSG-010</t>
  </si>
  <si>
    <t>Marieli Monsalve</t>
  </si>
  <si>
    <t>rarce@qsiamerica.com; celso@qsiamerica.com; vvalverde@qsiamerica.com; celso_alvarado@hotmail.com</t>
  </si>
  <si>
    <t>(001) 407-992-6619</t>
  </si>
  <si>
    <t>(001) 407-992-4316</t>
  </si>
  <si>
    <t>301-218439</t>
  </si>
  <si>
    <t>www.qsiamerica.com/certification.html</t>
  </si>
  <si>
    <t>Virginia Valverde Fernández</t>
  </si>
  <si>
    <t>1-0944-0802</t>
  </si>
  <si>
    <t>Master en Administración de Empresas</t>
  </si>
  <si>
    <t xml:space="preserve">Q.S.I. Auditing &amp; Certification Services, S.A. </t>
  </si>
  <si>
    <t>(506) 8800-5222</t>
  </si>
  <si>
    <t>San José – Escazú. Corporate Center, piso 6</t>
  </si>
  <si>
    <t>vvalverde@qsiamerica.com</t>
  </si>
  <si>
    <t>Lunes a Viernes 8 a.m. a 4 p.m.</t>
  </si>
  <si>
    <t>LMS Certification Services LATAM S.A.</t>
  </si>
  <si>
    <t>OCSG-011</t>
  </si>
  <si>
    <t>Loana Milusca Fasanando Soto</t>
  </si>
  <si>
    <t>certificaciones@lms-cert.com</t>
  </si>
  <si>
    <t>comercial@lms-cert.com</t>
  </si>
  <si>
    <t>01-660-2323</t>
  </si>
  <si>
    <t>MZA. A Lote 1 Urbanización Huertos de Villena Lima, Lima, Lurin, Perú</t>
  </si>
  <si>
    <t>www.lmscert.com</t>
  </si>
  <si>
    <t>Secretaria Ejecutiva</t>
  </si>
  <si>
    <t>Giron Tomas Cartari 539 Los Olivos, Lima, Perú</t>
  </si>
  <si>
    <t>9:00 am a 6:00 pm</t>
  </si>
  <si>
    <t>QSI Auditing and Certification Services, LLC</t>
  </si>
  <si>
    <t>OCSG-012</t>
  </si>
  <si>
    <t>certify@qsiamerica.com</t>
  </si>
  <si>
    <t>407-992-6619</t>
  </si>
  <si>
    <t>407-992-4316</t>
  </si>
  <si>
    <t>1802 North Alafaya Trail, Orlando, Florida, USA</t>
  </si>
  <si>
    <t>L07000112050</t>
  </si>
  <si>
    <t>www.qsiamerica.com</t>
  </si>
  <si>
    <t>Celso Alvarado</t>
  </si>
  <si>
    <t>1802 North Alafaya Trail. Orlando, Forida</t>
  </si>
  <si>
    <t>WSR</t>
  </si>
  <si>
    <t>WSR CERTIFICATION PRIVATE LIMITED</t>
  </si>
  <si>
    <t>OCSG-013</t>
  </si>
  <si>
    <t>VIRAT MISHRA</t>
  </si>
  <si>
    <t>wsrcertification@gmmail.com</t>
  </si>
  <si>
    <t>Norma de referencia: INTE/ISO 17029:2019 Principios generales y requisitos para los organismos de validación y verificación</t>
  </si>
  <si>
    <t>Escuela de Agricultura de la Región Tropical Húmeda (EARTH), Unidad de Carbono Neutro.</t>
  </si>
  <si>
    <t xml:space="preserve">Escuela de Agricultura de la región tropical húmeda </t>
  </si>
  <si>
    <t>OVV</t>
  </si>
  <si>
    <t>OVV-001</t>
  </si>
  <si>
    <t>OVV-002</t>
  </si>
  <si>
    <t>OVV-002-A01</t>
  </si>
  <si>
    <t xml:space="preserve">Edmundo Castro Jiménez </t>
  </si>
  <si>
    <t>2713-0030/ 2713-0427</t>
  </si>
  <si>
    <t>2713-0426</t>
  </si>
  <si>
    <t>Limón,  Campus Universidad EARTH, Mercedes de Guácimo.</t>
  </si>
  <si>
    <t>3-007-078951</t>
  </si>
  <si>
    <t>Daniel Sherrard</t>
  </si>
  <si>
    <t>5-840-307 documento identificación diplómatica</t>
  </si>
  <si>
    <t>Doctor en Educación Agrícola</t>
  </si>
  <si>
    <t>Apoderado generalísimo con limite de suma</t>
  </si>
  <si>
    <t xml:space="preserve">Mili Campos Araya </t>
  </si>
  <si>
    <t>2713-0427</t>
  </si>
  <si>
    <t>L-V 07:30 a.m. a 04:30 p.m.</t>
  </si>
  <si>
    <r>
      <rPr>
        <rFont val="Arial"/>
        <color theme="1"/>
        <sz val="12.0"/>
      </rPr>
      <t xml:space="preserve">Por favor para cualquier notificación tambien copiar al correo carbononeutro@earth.ac.cr ----------------------------------  </t>
    </r>
    <r>
      <rPr>
        <rFont val="Arial"/>
        <b/>
        <color theme="1"/>
        <sz val="12.0"/>
      </rPr>
      <t xml:space="preserve">22/1/2019 </t>
    </r>
    <r>
      <rPr>
        <rFont val="Arial"/>
        <color theme="1"/>
        <sz val="12.0"/>
      </rPr>
      <t xml:space="preserve">Retiro total voluntario de la acreditación a partir de </t>
    </r>
  </si>
  <si>
    <t>Asociación Instituto de Normas Técnicas de Costa Rica. Unidad de Verificación de Gases de Efecto Invernadero (INTECO)</t>
  </si>
  <si>
    <t>OVV-001-A01 / OVV-001-A02 / OVV-001-A03</t>
  </si>
  <si>
    <t>SCS Global Services</t>
  </si>
  <si>
    <t>OVV-003</t>
  </si>
  <si>
    <t>Juan Ma. Solera Osborne/ Diana Kirsanova Phillips</t>
  </si>
  <si>
    <t>jsolera@scsglobalservices.com; dkirsanovaphillips@scsglobalservices.com</t>
  </si>
  <si>
    <t>2262-0353/ 510-452-8000 (USA)</t>
  </si>
  <si>
    <t>2261-0940/ 510-452-6895 (USA)</t>
  </si>
  <si>
    <t>2000 Powell Steret, Suite 600, Emeryville, California, 94608, EEUU.</t>
  </si>
  <si>
    <t>California</t>
  </si>
  <si>
    <t>94-2957485</t>
  </si>
  <si>
    <t>Juan María Solera Osborne</t>
  </si>
  <si>
    <t>Heredia, 700 norte de la entrada principal de la UNA,  Oficentro Iguazú, Heredia</t>
  </si>
  <si>
    <t>Representante Regional</t>
  </si>
  <si>
    <t>Lourdes Matarrita</t>
  </si>
  <si>
    <t>2262-0353</t>
  </si>
  <si>
    <t>2261-0940</t>
  </si>
  <si>
    <t>LSQA</t>
  </si>
  <si>
    <t>LSQA Training Auditing and Certification Operations Costa Rica S.A.</t>
  </si>
  <si>
    <t>OVV-004</t>
  </si>
  <si>
    <t xml:space="preserve"> Represenatnte ECA: Bruno Galán
Alternativo: Raquel Gutierrez</t>
  </si>
  <si>
    <t>bgalan@lsqa.com</t>
  </si>
  <si>
    <t>rgutierrez@lsqa.com</t>
  </si>
  <si>
    <t>2524-2560
+598 94 054 748</t>
  </si>
  <si>
    <t>Los Yoses, San José, Costa Rica. Av. 12, Calle 33</t>
  </si>
  <si>
    <t>3-101-311848</t>
  </si>
  <si>
    <t>www.lsqa.com</t>
  </si>
  <si>
    <t>Gustavo Campos Arce</t>
  </si>
  <si>
    <t>3-0307-0628</t>
  </si>
  <si>
    <t>Contador</t>
  </si>
  <si>
    <t>Los Yoses, San José, Costa Rica. Av. 12, Calle 33 Correo principal: kquesada@lsqa.com
Correo Supletorio: campos@lsqa.com</t>
  </si>
  <si>
    <t>Coordinador Administrativo- Financiero</t>
  </si>
  <si>
    <t>Gustavo Campos</t>
  </si>
  <si>
    <t>2524-2560 ext 105</t>
  </si>
  <si>
    <t>facturacioncr@lsqa.com
facturacioncr@lsqa.com</t>
  </si>
  <si>
    <t>7:00 am a 2:00 pm</t>
  </si>
  <si>
    <t>CTG Certificaciones Técnicas Globales Ltda</t>
  </si>
  <si>
    <t>OVV-005</t>
  </si>
  <si>
    <t>A01: 17/01/2023
A02: 28/01/2025</t>
  </si>
  <si>
    <t xml:space="preserve">Mili Marcela Campos Araya </t>
  </si>
  <si>
    <t xml:space="preserve">mcampos@ctg-cr.com </t>
  </si>
  <si>
    <t xml:space="preserve"> 8711-7965 / 8308-7414</t>
  </si>
  <si>
    <t>San José, Goicoechea, Guadalupe, del INS de Guadalupe, 150 Sur, Casa Blanco con Negro.</t>
  </si>
  <si>
    <t xml:space="preserve"> 3-102-781872 </t>
  </si>
  <si>
    <t>Johannatan Barboza Vallejo</t>
  </si>
  <si>
    <t>1-849-378</t>
  </si>
  <si>
    <t>Costa Rica, San José, San Rafael de Coronado, ochocientos metros este de la entrada Calle Maquina</t>
  </si>
  <si>
    <t>Teléfono: 8375-3889 Correo: j.barboza@ctg-cr.com</t>
  </si>
  <si>
    <t>Mili Marcela Campos Araya</t>
  </si>
  <si>
    <t>&lt;mcampos@ctg-cr.com</t>
  </si>
  <si>
    <t>Las credenciales se enviaron a Mili Marcela por solicitud de ella como representante ante ECA</t>
  </si>
  <si>
    <t>OVV-006</t>
  </si>
  <si>
    <t>procame@una.cr; Karla.vetrani.chavarria@una.cr</t>
  </si>
  <si>
    <t>Green Trust Foundation</t>
  </si>
  <si>
    <t>Fundación Confianza Verde</t>
  </si>
  <si>
    <t>OVV-007</t>
  </si>
  <si>
    <t>administracion@gtfou.org</t>
  </si>
  <si>
    <t>asistenciagtf@gtfou.org</t>
  </si>
  <si>
    <t>Oficentro La Sabana, Torre 6 – 7, oficina 26, Sabana Sur.</t>
  </si>
  <si>
    <t>3-006-782355</t>
  </si>
  <si>
    <t>www.gtfou.org</t>
  </si>
  <si>
    <t>Juan Eduardo Alfaro Monge</t>
  </si>
  <si>
    <t>San José, San Rafael de Coronado, del Taller Rojas 200
mts sur y 30 mts este.</t>
  </si>
  <si>
    <t>Dirección de Operaciones</t>
  </si>
  <si>
    <t>Javier Quintana Morales</t>
  </si>
  <si>
    <t>Oficientro La Sabana, Torre 6 – Piso 7- Oficina 26, Sabana Sur, Costa Rica.</t>
  </si>
  <si>
    <t>Lunes a viernes de 8:30 am a 5:30 pm.</t>
  </si>
  <si>
    <t>Agrouniversal Representaciones Cía. Ltda</t>
  </si>
  <si>
    <t>Programa Carbono Neutro de Agrouniversal- PCNA</t>
  </si>
  <si>
    <t>OVV-008</t>
  </si>
  <si>
    <t xml:space="preserve">Karen Naula </t>
  </si>
  <si>
    <t>certificaciones@agrouniversal.com.ec; gestoria-pcna@agrouniversal.com.ec</t>
  </si>
  <si>
    <t>(593-2) 39 44 130 ext. 315</t>
  </si>
  <si>
    <t>Ecuador</t>
  </si>
  <si>
    <t xml:space="preserve">Dirección: Ecuador, Pichincha, Quito, Metropolitano de Quito, Ponceano Alto, calle Juan Barrezueta N74-86 y José Andrade, edificio AEME Representaciones, color blanco, negro y rojo.
Teléfono: (593-2) 39 44 130 ext. 315 
</t>
  </si>
  <si>
    <t>Pichincha</t>
  </si>
  <si>
    <t>1-792363888001</t>
  </si>
  <si>
    <t>Edwin Alexis Mejía Imbaquingo</t>
  </si>
  <si>
    <t>040087367-5</t>
  </si>
  <si>
    <t>ecuatoriana</t>
  </si>
  <si>
    <t xml:space="preserve">Dirección: Ecuador, Pichincha, Quito, Distrito Metropolitano de Quito, barrio Ponceano Alto, calle y avenidas Juan Barrezueta N74-86 y José Andrade calle, Edificio AEME Representaciones, color blanco, negro y rojo.
           Teléfono: (593-2) 39 44 130 ext. 315
  Correo electrónico: gerencia@agrouniversal.com.ec 
</t>
  </si>
  <si>
    <t>Departamento Financiero</t>
  </si>
  <si>
    <t>Flor Pacalla</t>
  </si>
  <si>
    <t>(593-2) 39 44 130 ext. 313</t>
  </si>
  <si>
    <t>contabilidad@agrouniversal.com.ec</t>
  </si>
  <si>
    <t>8H30-17H30</t>
  </si>
  <si>
    <t>SAI</t>
  </si>
  <si>
    <t>Total OI con suspención total</t>
  </si>
  <si>
    <t>OI acreditados con suspensión parcial</t>
  </si>
  <si>
    <t>Total OI Acreditados</t>
  </si>
  <si>
    <t>Total OI en proceso</t>
  </si>
  <si>
    <t>SAL</t>
  </si>
  <si>
    <t>LC acreditados</t>
  </si>
  <si>
    <t>LE  acreditados</t>
  </si>
  <si>
    <t>LC con suspención total</t>
  </si>
  <si>
    <t>LE con suspención total</t>
  </si>
  <si>
    <t>LC con suspensión parcial</t>
  </si>
  <si>
    <t>LE con suspensión parcial</t>
  </si>
  <si>
    <t>Total acreditados:</t>
  </si>
  <si>
    <t>Incluye los OEC suspendidos</t>
  </si>
  <si>
    <t>Total de LC acreditados</t>
  </si>
  <si>
    <t>Total de LE acreditados</t>
  </si>
  <si>
    <t>Total Laboratorios acreditados</t>
  </si>
  <si>
    <t>LC en proceso</t>
  </si>
  <si>
    <t>LE en proceso</t>
  </si>
  <si>
    <t>Total Laboratorios en proceso</t>
  </si>
  <si>
    <t>17043 PEA</t>
  </si>
  <si>
    <t>Total PEA con suspensión total</t>
  </si>
  <si>
    <t>PEA acreditados con suspensión parcial</t>
  </si>
  <si>
    <t>Total PEA Acreditados</t>
  </si>
  <si>
    <t>Total PEA Proceso</t>
  </si>
  <si>
    <t>15189 LM</t>
  </si>
  <si>
    <t>Total LM con suspención total</t>
  </si>
  <si>
    <t>LM acreditados con suspensión parcial</t>
  </si>
  <si>
    <t>Total LM Acreditados</t>
  </si>
  <si>
    <t>Total LM  en proceso</t>
  </si>
  <si>
    <t>SAC</t>
  </si>
  <si>
    <t>OCH Acreditados</t>
  </si>
  <si>
    <t>OCP Acreditados</t>
  </si>
  <si>
    <t>OCSG Acreditados</t>
  </si>
  <si>
    <t>OVV Acreditados</t>
  </si>
  <si>
    <t>OCH con suspención total</t>
  </si>
  <si>
    <t>OCP con suspención total</t>
  </si>
  <si>
    <t>OCSG con suspención total</t>
  </si>
  <si>
    <t>OVV con suspención total</t>
  </si>
  <si>
    <t>OCH Con suspención parcial</t>
  </si>
  <si>
    <t>OCP Con suspención parcial</t>
  </si>
  <si>
    <t>OCSG Con suspención parcial</t>
  </si>
  <si>
    <t>OVV Con suspención parcial</t>
  </si>
  <si>
    <t>OCH en proceso</t>
  </si>
  <si>
    <t>OCP en proceso</t>
  </si>
  <si>
    <t>OCSG en proceso</t>
  </si>
  <si>
    <t>OVV en proceso</t>
  </si>
  <si>
    <t>Total OC Acreditados</t>
  </si>
  <si>
    <t>Total OVV Acreditados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</si>
</sst>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M/YYYY"/>
  </numFmts>
  <fonts count="74">
    <font>
      <sz val="11.0"/>
      <color rgb="FF000000"/>
      <name val="Calibri"/>
      <scheme val="minor"/>
    </font>
    <font>
      <b/>
      <sz val="12.0"/>
      <color theme="1"/>
      <name val="Arial"/>
    </font>
    <font/>
    <font>
      <sz val="11.0"/>
      <color rgb="FF000000"/>
      <name val="Arial"/>
    </font>
    <font>
      <sz val="11.0"/>
      <color theme="1"/>
      <name val="Arial"/>
    </font>
    <font>
      <b/>
      <sz val="12.0"/>
      <color rgb="FF000000"/>
      <name val="Arial"/>
    </font>
    <font>
      <b/>
      <sz val="16.0"/>
      <color rgb="FF000000"/>
      <name val="Arial"/>
    </font>
    <font>
      <sz val="12.0"/>
      <color rgb="FF000000"/>
      <name val="Arial"/>
    </font>
    <font>
      <sz val="12.0"/>
      <color theme="0"/>
      <name val="Arial"/>
    </font>
    <font>
      <b/>
      <sz val="14.0"/>
      <color theme="0"/>
      <name val="Arial"/>
    </font>
    <font>
      <sz val="12.0"/>
      <color theme="1"/>
      <name val="Arial"/>
    </font>
    <font>
      <b/>
      <sz val="16.0"/>
      <color theme="1"/>
      <name val="Arial"/>
    </font>
    <font>
      <u/>
      <sz val="12.0"/>
      <color rgb="FF0000FF"/>
      <name val="Arial"/>
    </font>
    <font>
      <u/>
      <sz val="12.0"/>
      <color theme="10"/>
      <name val="Calibri"/>
    </font>
    <font>
      <u/>
      <sz val="16.0"/>
      <color theme="10"/>
      <name val="Calibri"/>
    </font>
    <font>
      <u/>
      <sz val="11.0"/>
      <color theme="10"/>
      <name val="Calibri"/>
    </font>
    <font>
      <sz val="12.0"/>
      <color theme="10"/>
      <name val="Arial"/>
    </font>
    <font>
      <u/>
      <sz val="12.0"/>
      <color theme="10"/>
      <name val="Arial"/>
    </font>
    <font>
      <u/>
      <sz val="11.0"/>
      <color theme="10"/>
      <name val="Calibri"/>
    </font>
    <font>
      <u/>
      <sz val="11.0"/>
      <color theme="10"/>
      <name val="Calibri"/>
    </font>
    <font>
      <u/>
      <sz val="12.0"/>
      <color theme="10"/>
      <name val="Arial"/>
    </font>
    <font>
      <u/>
      <sz val="12.0"/>
      <color rgb="FF0000FF"/>
      <name val="Arial"/>
    </font>
    <font>
      <sz val="12.0"/>
      <color rgb="FF222222"/>
      <name val="Arial"/>
    </font>
    <font>
      <u/>
      <sz val="12.0"/>
      <color rgb="FF0000FF"/>
      <name val="Arial"/>
    </font>
    <font>
      <u/>
      <sz val="12.0"/>
      <color theme="10"/>
      <name val="Arial"/>
    </font>
    <font>
      <u/>
      <sz val="12.0"/>
      <color theme="1"/>
      <name val="Arial"/>
    </font>
    <font>
      <u/>
      <sz val="12.0"/>
      <color rgb="FF000000"/>
      <name val="Arial"/>
    </font>
    <font>
      <u/>
      <sz val="12.0"/>
      <color rgb="FF000000"/>
      <name val="Arial"/>
    </font>
    <font>
      <sz val="11.0"/>
      <color rgb="FF000000"/>
      <name val="Calibri"/>
    </font>
    <font>
      <u/>
      <sz val="12.0"/>
      <color theme="10"/>
      <name val="Arial"/>
    </font>
    <font>
      <sz val="12.0"/>
      <color rgb="FF0F243E"/>
      <name val="Arial"/>
    </font>
    <font>
      <u/>
      <sz val="12.0"/>
      <color rgb="FF000000"/>
      <name val="Arial"/>
    </font>
    <font>
      <u/>
      <sz val="12.0"/>
      <color rgb="FF000000"/>
      <name val="Arial"/>
    </font>
    <font>
      <u/>
      <sz val="12.0"/>
      <color theme="10"/>
      <name val="Arial"/>
    </font>
    <font>
      <u/>
      <sz val="12.0"/>
      <color rgb="FF0000FF"/>
      <name val="Arial"/>
    </font>
    <font>
      <u/>
      <sz val="11.0"/>
      <color theme="10"/>
      <name val="Calibri"/>
    </font>
    <font>
      <u/>
      <sz val="12.0"/>
      <color theme="1"/>
      <name val="Arial"/>
    </font>
    <font>
      <u/>
      <sz val="12.0"/>
      <color rgb="FF222222"/>
      <name val="Arial"/>
    </font>
    <font>
      <u/>
      <sz val="12.0"/>
      <color rgb="FF0033CC"/>
      <name val="Arial"/>
    </font>
    <font>
      <u/>
      <sz val="11.0"/>
      <color theme="10"/>
      <name val="Calibri"/>
    </font>
    <font>
      <u/>
      <sz val="12.0"/>
      <color rgb="FF222222"/>
      <name val="Arial"/>
    </font>
    <font>
      <sz val="12.0"/>
      <color rgb="FFFF0000"/>
      <name val="Arial"/>
    </font>
    <font>
      <sz val="12.0"/>
      <color rgb="FF1F497D"/>
      <name val="Arial"/>
    </font>
    <font>
      <u/>
      <sz val="12.0"/>
      <color rgb="FFFF0000"/>
      <name val="Arial"/>
    </font>
    <font>
      <u/>
      <sz val="12.0"/>
      <color theme="10"/>
      <name val="Calibri"/>
    </font>
    <font>
      <u/>
      <sz val="12.0"/>
      <color theme="10"/>
      <name val="Arial"/>
    </font>
    <font>
      <u/>
      <sz val="12.0"/>
      <color theme="10"/>
      <name val="Arial"/>
    </font>
    <font>
      <b/>
      <sz val="14.0"/>
      <color rgb="FF000000"/>
      <name val="Arial"/>
    </font>
    <font>
      <sz val="11.0"/>
      <color theme="1"/>
      <name val="Calibri"/>
    </font>
    <font>
      <sz val="12.0"/>
      <color theme="0"/>
      <name val="Calibri"/>
    </font>
    <font>
      <u/>
      <sz val="12.0"/>
      <color theme="1"/>
      <name val="Arial"/>
    </font>
    <font>
      <u/>
      <sz val="11.0"/>
      <color theme="10"/>
      <name val="Calibri"/>
    </font>
    <font>
      <sz val="12.0"/>
      <color rgb="FF000000"/>
      <name val="Calibri"/>
    </font>
    <font>
      <sz val="22.0"/>
      <color theme="1"/>
      <name val="Arial"/>
    </font>
    <font>
      <sz val="18.0"/>
      <color theme="1"/>
      <name val="Arial"/>
    </font>
    <font>
      <u/>
      <sz val="12.0"/>
      <color rgb="FF0000FF"/>
      <name val="Arial"/>
    </font>
    <font>
      <sz val="22.0"/>
      <color rgb="FF000000"/>
      <name val="Calibri"/>
    </font>
    <font>
      <sz val="18.0"/>
      <color rgb="FF000000"/>
      <name val="Calibri"/>
    </font>
    <font>
      <u/>
      <sz val="11.0"/>
      <color theme="10"/>
      <name val="Calibri"/>
    </font>
    <font>
      <sz val="10.0"/>
      <color rgb="FF000000"/>
      <name val="Calibri"/>
    </font>
    <font>
      <sz val="16.0"/>
      <color theme="0"/>
      <name val="Calibri"/>
    </font>
    <font>
      <sz val="16.0"/>
      <color rgb="FF000000"/>
      <name val="Calibri"/>
    </font>
    <font>
      <sz val="11.0"/>
      <color rgb="FFFF0000"/>
      <name val="Calibri"/>
    </font>
    <font>
      <sz val="20.0"/>
      <color rgb="FF000000"/>
      <name val="Calibri"/>
    </font>
    <font>
      <sz val="18.0"/>
      <color theme="1"/>
      <name val="Calibri"/>
    </font>
    <font>
      <b/>
      <sz val="11.0"/>
      <color theme="1"/>
      <name val="Calibri"/>
    </font>
    <font>
      <b/>
      <sz val="11.0"/>
      <color rgb="FF000000"/>
      <name val="Calibri"/>
    </font>
    <font>
      <b/>
      <sz val="16.0"/>
      <color rgb="FF000000"/>
      <name val="Calibri"/>
    </font>
    <font>
      <b/>
      <u/>
      <sz val="16.0"/>
      <color theme="1"/>
      <name val="Calibri"/>
    </font>
    <font>
      <b/>
      <sz val="14.0"/>
      <color theme="1"/>
      <name val="Calibri"/>
    </font>
    <font>
      <b/>
      <u/>
      <sz val="16.0"/>
      <color theme="1"/>
      <name val="Calibri"/>
    </font>
    <font>
      <b/>
      <sz val="18.0"/>
      <color rgb="FFFF0000"/>
      <name val="Calibri"/>
    </font>
    <font>
      <b/>
      <u/>
      <sz val="14.0"/>
      <color theme="1"/>
      <name val="Calibri"/>
    </font>
    <font>
      <b/>
      <u/>
      <sz val="16.0"/>
      <color theme="1"/>
      <name val="Calibri"/>
    </font>
  </fonts>
  <fills count="13">
    <fill>
      <patternFill patternType="none"/>
    </fill>
    <fill>
      <patternFill patternType="lightGray"/>
    </fill>
    <fill>
      <patternFill patternType="solid">
        <fgColor rgb="FFFFFFFF"/>
        <bgColor rgb="FFFFFFFF"/>
      </patternFill>
    </fill>
    <fill>
      <patternFill patternType="solid">
        <fgColor theme="4"/>
        <bgColor theme="4"/>
      </patternFill>
    </fill>
    <fill>
      <patternFill patternType="solid">
        <fgColor theme="0"/>
        <bgColor theme="0"/>
      </patternFill>
    </fill>
    <fill>
      <patternFill patternType="solid">
        <fgColor rgb="FFFFFF00"/>
        <bgColor rgb="FFFFFF00"/>
      </patternFill>
    </fill>
    <fill>
      <patternFill patternType="solid">
        <fgColor rgb="FFD8D8D8"/>
        <bgColor rgb="FFD8D8D8"/>
      </patternFill>
    </fill>
    <fill>
      <patternFill patternType="solid">
        <fgColor rgb="FF953734"/>
        <bgColor rgb="FF953734"/>
      </patternFill>
    </fill>
    <fill>
      <patternFill patternType="solid">
        <fgColor rgb="FFF2DBDB"/>
        <bgColor rgb="FFF2DBDB"/>
      </patternFill>
    </fill>
    <fill>
      <patternFill patternType="solid">
        <fgColor rgb="FFDBE5F1"/>
        <bgColor rgb="FFDBE5F1"/>
      </patternFill>
    </fill>
    <fill>
      <patternFill patternType="solid">
        <fgColor rgb="FFFBD4B4"/>
        <bgColor rgb="FFFBD4B4"/>
      </patternFill>
    </fill>
    <fill>
      <patternFill patternType="solid">
        <fgColor rgb="FFE5B8B7"/>
        <bgColor rgb="FFE5B8B7"/>
      </patternFill>
    </fill>
    <fill>
      <patternFill patternType="solid">
        <fgColor rgb="FFFDE9D9"/>
        <bgColor rgb="FFFDE9D9"/>
      </patternFill>
    </fill>
  </fills>
  <borders count="26">
    <border/>
    <border>
      <left style="thin">
        <color rgb="FF000000"/>
      </left>
      <top style="thin">
        <color rgb="FF000000"/>
      </top>
    </border>
    <border>
      <top style="thin">
        <color rgb="FF000000"/>
      </top>
    </border>
    <border>
      <left style="thin">
        <color rgb="FF000000"/>
      </left>
      <right style="thin">
        <color rgb="FF000000"/>
      </right>
      <top style="thin">
        <color rgb="FF000000"/>
      </top>
      <bottom style="thin">
        <color rgb="FF000000"/>
      </bottom>
    </border>
    <border>
      <left style="thin">
        <color rgb="FF000000"/>
      </left>
    </border>
    <border>
      <left style="thin">
        <color rgb="FF000000"/>
      </left>
      <bottom style="thin">
        <color rgb="FF000000"/>
      </bottom>
    </border>
    <border>
      <bottom style="thin">
        <color rgb="FF000000"/>
      </bottom>
    </border>
    <border>
      <left/>
      <right/>
      <top/>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left style="thin">
        <color rgb="FF000000"/>
      </left>
      <right/>
      <top/>
      <bottom/>
    </border>
    <border>
      <right style="thin">
        <color rgb="FF000000"/>
      </right>
      <top style="thin">
        <color rgb="FF000000"/>
      </top>
      <bottom style="thin">
        <color rgb="FF000000"/>
      </bottom>
    </border>
    <border>
      <top style="medium">
        <color rgb="FF000000"/>
      </top>
      <bottom style="medium">
        <color rgb="FF000000"/>
      </bottom>
    </border>
    <border>
      <left style="thin">
        <color rgb="FF000000"/>
      </left>
      <right/>
      <top style="thin">
        <color rgb="FF000000"/>
      </top>
      <bottom/>
    </border>
    <border>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top style="thin">
        <color rgb="FF000000"/>
      </top>
      <bottom/>
    </border>
    <border>
      <right style="thin">
        <color rgb="FF000000"/>
      </right>
      <top style="thin">
        <color rgb="FF000000"/>
      </top>
      <bottom/>
    </border>
    <border>
      <right style="thin">
        <color rgb="FF000000"/>
      </right>
    </border>
    <border>
      <right style="thin">
        <color rgb="FF000000"/>
      </right>
      <bottom style="thin">
        <color rgb="FF000000"/>
      </bottom>
    </border>
    <border>
      <left/>
      <right style="thin">
        <color rgb="FF000000"/>
      </right>
      <top/>
      <bottom/>
    </border>
    <border>
      <right style="thin">
        <color rgb="FF000000"/>
      </right>
      <top style="thin">
        <color rgb="FF000000"/>
      </top>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189">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2" numFmtId="0" xfId="0" applyBorder="1" applyFont="1"/>
    <xf borderId="3" fillId="0" fontId="3" numFmtId="0" xfId="0" applyAlignment="1" applyBorder="1" applyFont="1">
      <alignment horizontal="center"/>
    </xf>
    <xf borderId="3" fillId="2" fontId="3" numFmtId="0" xfId="0" applyAlignment="1" applyBorder="1" applyFill="1" applyFont="1">
      <alignment horizontal="center"/>
    </xf>
    <xf borderId="4" fillId="0" fontId="2" numFmtId="0" xfId="0" applyBorder="1" applyFont="1"/>
    <xf borderId="3" fillId="0" fontId="3" numFmtId="0" xfId="0" applyAlignment="1" applyBorder="1" applyFont="1">
      <alignment horizontal="center" vertical="center"/>
    </xf>
    <xf borderId="3" fillId="2" fontId="3" numFmtId="0" xfId="0" applyAlignment="1" applyBorder="1" applyFont="1">
      <alignment horizontal="center" vertical="center"/>
    </xf>
    <xf borderId="3" fillId="0" fontId="3" numFmtId="0" xfId="0" applyAlignment="1" applyBorder="1" applyFont="1">
      <alignment horizontal="center" shrinkToFit="0" vertical="center" wrapText="1"/>
    </xf>
    <xf borderId="5" fillId="0" fontId="2" numFmtId="0" xfId="0" applyBorder="1" applyFont="1"/>
    <xf borderId="6" fillId="0" fontId="2" numFmtId="0" xfId="0" applyBorder="1" applyFont="1"/>
    <xf borderId="3" fillId="2" fontId="4" numFmtId="164" xfId="0" applyAlignment="1" applyBorder="1" applyFont="1" applyNumberFormat="1">
      <alignment horizontal="center" vertical="center"/>
    </xf>
    <xf borderId="3" fillId="2" fontId="4" numFmtId="0" xfId="0" applyAlignment="1" applyBorder="1" applyFont="1">
      <alignment horizontal="center" vertical="center"/>
    </xf>
    <xf borderId="0" fillId="0" fontId="5" numFmtId="0" xfId="0" applyAlignment="1" applyFont="1">
      <alignment horizontal="left"/>
    </xf>
    <xf borderId="6" fillId="0" fontId="6" numFmtId="0" xfId="0" applyAlignment="1" applyBorder="1" applyFont="1">
      <alignment horizontal="center" vertical="center"/>
    </xf>
    <xf borderId="6" fillId="0" fontId="6" numFmtId="0" xfId="0" applyAlignment="1" applyBorder="1" applyFont="1">
      <alignment vertical="center"/>
    </xf>
    <xf borderId="0" fillId="0" fontId="7" numFmtId="0" xfId="0" applyAlignment="1" applyFont="1">
      <alignment horizontal="left"/>
    </xf>
    <xf borderId="0" fillId="0" fontId="8" numFmtId="0" xfId="0" applyAlignment="1" applyFont="1">
      <alignment horizontal="left"/>
    </xf>
    <xf borderId="3" fillId="3" fontId="9" numFmtId="0" xfId="0" applyAlignment="1" applyBorder="1" applyFill="1" applyFont="1">
      <alignment horizontal="center" shrinkToFit="0" vertical="center" wrapText="1"/>
    </xf>
    <xf borderId="3" fillId="3" fontId="9" numFmtId="0" xfId="0" applyAlignment="1" applyBorder="1" applyFont="1">
      <alignment horizontal="center" vertical="center"/>
    </xf>
    <xf borderId="3" fillId="0" fontId="10" numFmtId="0" xfId="0" applyAlignment="1" applyBorder="1" applyFont="1">
      <alignment horizontal="center" shrinkToFit="0" vertical="center" wrapText="1"/>
    </xf>
    <xf borderId="3" fillId="0" fontId="11" numFmtId="0" xfId="0" applyAlignment="1" applyBorder="1" applyFont="1">
      <alignment horizontal="center" shrinkToFit="0" vertical="center" wrapText="1"/>
    </xf>
    <xf borderId="3" fillId="0" fontId="7" numFmtId="165" xfId="0" applyAlignment="1" applyBorder="1" applyFont="1" applyNumberFormat="1">
      <alignment horizontal="center" shrinkToFit="0" vertical="center" wrapText="1"/>
    </xf>
    <xf borderId="3" fillId="0" fontId="10" numFmtId="165" xfId="0" applyAlignment="1" applyBorder="1" applyFont="1" applyNumberFormat="1">
      <alignment horizontal="center" shrinkToFit="0" vertical="center" wrapText="1"/>
    </xf>
    <xf borderId="3" fillId="0" fontId="7" numFmtId="0" xfId="0" applyAlignment="1" applyBorder="1" applyFont="1">
      <alignment horizontal="center" vertical="center"/>
    </xf>
    <xf borderId="3" fillId="0" fontId="12" numFmtId="0" xfId="0" applyAlignment="1" applyBorder="1" applyFont="1">
      <alignment horizontal="center" shrinkToFit="0" vertical="center" wrapText="1"/>
    </xf>
    <xf borderId="3" fillId="0" fontId="7" numFmtId="0" xfId="0" applyAlignment="1" applyBorder="1" applyFont="1">
      <alignment horizontal="center" shrinkToFit="0" vertical="center" wrapText="1"/>
    </xf>
    <xf borderId="3" fillId="0" fontId="13" numFmtId="0" xfId="0" applyAlignment="1" applyBorder="1" applyFont="1">
      <alignment horizontal="center" shrinkToFit="0" vertical="center" wrapText="1"/>
    </xf>
    <xf borderId="3" fillId="0" fontId="14" numFmtId="0" xfId="0" applyAlignment="1" applyBorder="1" applyFont="1">
      <alignment horizontal="center" shrinkToFit="0" vertical="center" wrapText="1"/>
    </xf>
    <xf borderId="7" fillId="4" fontId="7" numFmtId="0" xfId="0" applyAlignment="1" applyBorder="1" applyFill="1" applyFont="1">
      <alignment horizontal="left"/>
    </xf>
    <xf borderId="3" fillId="4" fontId="10" numFmtId="165" xfId="0" applyAlignment="1" applyBorder="1" applyFont="1" applyNumberFormat="1">
      <alignment horizontal="center" shrinkToFit="0" vertical="center" wrapText="1"/>
    </xf>
    <xf borderId="3" fillId="0" fontId="15" numFmtId="0" xfId="0" applyAlignment="1" applyBorder="1" applyFont="1">
      <alignment horizontal="center" vertical="center"/>
    </xf>
    <xf borderId="3" fillId="0" fontId="16" numFmtId="0" xfId="0" applyAlignment="1" applyBorder="1" applyFont="1">
      <alignment horizontal="center" shrinkToFit="0" vertical="center" wrapText="1"/>
    </xf>
    <xf borderId="3" fillId="5" fontId="10" numFmtId="165" xfId="0" applyAlignment="1" applyBorder="1" applyFill="1" applyFont="1" applyNumberFormat="1">
      <alignment horizontal="center" shrinkToFit="0" vertical="center" wrapText="1"/>
    </xf>
    <xf borderId="3" fillId="0" fontId="17" numFmtId="0" xfId="0" applyAlignment="1" applyBorder="1" applyFont="1">
      <alignment horizontal="center" shrinkToFit="0" vertical="center" wrapText="1"/>
    </xf>
    <xf borderId="3" fillId="5" fontId="10" numFmtId="0" xfId="0" applyAlignment="1" applyBorder="1" applyFont="1">
      <alignment horizontal="center" shrinkToFit="0" vertical="center" wrapText="1"/>
    </xf>
    <xf borderId="3" fillId="5" fontId="18" numFmtId="0" xfId="0" applyAlignment="1" applyBorder="1" applyFont="1">
      <alignment horizontal="center" shrinkToFit="0" vertical="center" wrapText="1"/>
    </xf>
    <xf borderId="3" fillId="5" fontId="7" numFmtId="0" xfId="0" applyAlignment="1" applyBorder="1" applyFont="1">
      <alignment horizontal="center" shrinkToFit="0" vertical="center" wrapText="1"/>
    </xf>
    <xf borderId="3" fillId="0" fontId="19" numFmtId="0" xfId="0" applyAlignment="1" applyBorder="1" applyFont="1">
      <alignment horizontal="center" shrinkToFit="0" vertical="center" wrapText="1"/>
    </xf>
    <xf borderId="3" fillId="0" fontId="10" numFmtId="3" xfId="0" applyAlignment="1" applyBorder="1" applyFont="1" applyNumberFormat="1">
      <alignment horizontal="center" shrinkToFit="0" vertical="center" wrapText="1"/>
    </xf>
    <xf borderId="3" fillId="0" fontId="10" numFmtId="0" xfId="0" applyAlignment="1" applyBorder="1" applyFont="1">
      <alignment horizontal="center" readingOrder="0" shrinkToFit="0" vertical="center" wrapText="1"/>
    </xf>
    <xf borderId="3" fillId="0" fontId="11" numFmtId="0" xfId="0" applyAlignment="1" applyBorder="1" applyFont="1">
      <alignment horizontal="center" readingOrder="0" shrinkToFit="0" vertical="center" wrapText="1"/>
    </xf>
    <xf borderId="3" fillId="0" fontId="20" numFmtId="0" xfId="0" applyAlignment="1" applyBorder="1" applyFont="1">
      <alignment horizontal="center" readingOrder="0" shrinkToFit="0" vertical="center" wrapText="1"/>
    </xf>
    <xf borderId="3" fillId="0" fontId="16" numFmtId="0" xfId="0" applyAlignment="1" applyBorder="1" applyFont="1">
      <alignment horizontal="center" readingOrder="0" shrinkToFit="0" vertical="center" wrapText="1"/>
    </xf>
    <xf borderId="3" fillId="0" fontId="21" numFmtId="0" xfId="0" applyAlignment="1" applyBorder="1" applyFont="1">
      <alignment horizontal="center" readingOrder="0" shrinkToFit="0" vertical="center" wrapText="1"/>
    </xf>
    <xf borderId="3" fillId="0" fontId="7" numFmtId="0" xfId="0" applyAlignment="1" applyBorder="1" applyFont="1">
      <alignment horizontal="center" readingOrder="0" shrinkToFit="0" vertical="center" wrapText="1"/>
    </xf>
    <xf borderId="3" fillId="0" fontId="10" numFmtId="0" xfId="0" applyAlignment="1" applyBorder="1" applyFont="1">
      <alignment horizontal="center" vertical="center"/>
    </xf>
    <xf borderId="3" fillId="0" fontId="22" numFmtId="0" xfId="0" applyAlignment="1" applyBorder="1" applyFont="1">
      <alignment horizontal="center" vertical="center"/>
    </xf>
    <xf borderId="8" fillId="0" fontId="23" numFmtId="0" xfId="0" applyAlignment="1" applyBorder="1" applyFont="1">
      <alignment horizontal="center" shrinkToFit="0" vertical="center" wrapText="1"/>
    </xf>
    <xf borderId="3" fillId="0" fontId="24" numFmtId="0" xfId="0" applyAlignment="1" applyBorder="1" applyFont="1">
      <alignment horizontal="center" vertical="center"/>
    </xf>
    <xf borderId="3" fillId="0" fontId="10" numFmtId="16" xfId="0" applyAlignment="1" applyBorder="1" applyFont="1" applyNumberFormat="1">
      <alignment horizontal="center" shrinkToFit="0" vertical="center" wrapText="1"/>
    </xf>
    <xf borderId="8" fillId="0" fontId="16" numFmtId="0" xfId="0" applyAlignment="1" applyBorder="1" applyFont="1">
      <alignment horizontal="center" shrinkToFit="0" vertical="center" wrapText="1"/>
    </xf>
    <xf borderId="3" fillId="0" fontId="25" numFmtId="0" xfId="0" applyAlignment="1" applyBorder="1" applyFont="1">
      <alignment horizontal="center" shrinkToFit="0" vertical="center" wrapText="1"/>
    </xf>
    <xf borderId="3" fillId="0" fontId="22" numFmtId="0" xfId="0" applyAlignment="1" applyBorder="1" applyFont="1">
      <alignment horizontal="center" shrinkToFit="0" vertical="center" wrapText="1"/>
    </xf>
    <xf borderId="3" fillId="0" fontId="7" numFmtId="165" xfId="0" applyAlignment="1" applyBorder="1" applyFont="1" applyNumberFormat="1">
      <alignment horizontal="center" vertical="center"/>
    </xf>
    <xf borderId="3" fillId="0" fontId="26" numFmtId="0" xfId="0" applyAlignment="1" applyBorder="1" applyFont="1">
      <alignment horizontal="center" vertical="center"/>
    </xf>
    <xf borderId="3" fillId="0" fontId="27" numFmtId="0" xfId="0" applyAlignment="1" applyBorder="1" applyFont="1">
      <alignment horizontal="center" shrinkToFit="0" vertical="center" wrapText="1"/>
    </xf>
    <xf borderId="1" fillId="0" fontId="10" numFmtId="0" xfId="0" applyAlignment="1" applyBorder="1" applyFont="1">
      <alignment horizontal="center" shrinkToFit="0" vertical="center" wrapText="1"/>
    </xf>
    <xf borderId="0" fillId="0" fontId="28" numFmtId="0" xfId="0" applyFont="1"/>
    <xf borderId="8" fillId="0" fontId="29" numFmtId="0" xfId="0" applyAlignment="1" applyBorder="1" applyFont="1">
      <alignment horizontal="center" vertical="center"/>
    </xf>
    <xf borderId="3" fillId="0" fontId="30" numFmtId="0" xfId="0" applyAlignment="1" applyBorder="1" applyFont="1">
      <alignment horizontal="center" vertical="center"/>
    </xf>
    <xf borderId="7" fillId="4" fontId="10" numFmtId="0" xfId="0" applyAlignment="1" applyBorder="1" applyFont="1">
      <alignment horizontal="left" shrinkToFit="0" vertical="center" wrapText="1"/>
    </xf>
    <xf borderId="3" fillId="0" fontId="10" numFmtId="1" xfId="0" applyAlignment="1" applyBorder="1" applyFont="1" applyNumberFormat="1">
      <alignment horizontal="center" shrinkToFit="0" vertical="center" wrapText="1"/>
    </xf>
    <xf borderId="8" fillId="0" fontId="10" numFmtId="0" xfId="0" applyAlignment="1" applyBorder="1" applyFont="1">
      <alignment horizontal="center" shrinkToFit="0" vertical="center" wrapText="1"/>
    </xf>
    <xf borderId="8" fillId="0" fontId="31" numFmtId="0" xfId="0" applyAlignment="1" applyBorder="1" applyFont="1">
      <alignment horizontal="center" shrinkToFit="0" vertical="center" wrapText="1"/>
    </xf>
    <xf borderId="8" fillId="0" fontId="7" numFmtId="0" xfId="0" applyAlignment="1" applyBorder="1" applyFont="1">
      <alignment horizontal="center" vertical="center"/>
    </xf>
    <xf borderId="8" fillId="0" fontId="32" numFmtId="0" xfId="0" applyAlignment="1" applyBorder="1" applyFont="1">
      <alignment horizontal="center" vertical="center"/>
    </xf>
    <xf borderId="3" fillId="5" fontId="10" numFmtId="49" xfId="0" applyAlignment="1" applyBorder="1" applyFont="1" applyNumberFormat="1">
      <alignment horizontal="center" shrinkToFit="0" vertical="center" wrapText="1"/>
    </xf>
    <xf borderId="8" fillId="0" fontId="33" numFmtId="0" xfId="0" applyAlignment="1" applyBorder="1" applyFont="1">
      <alignment horizontal="center" shrinkToFit="0" vertical="center" wrapText="1"/>
    </xf>
    <xf borderId="7" fillId="6" fontId="7" numFmtId="0" xfId="0" applyAlignment="1" applyBorder="1" applyFill="1" applyFont="1">
      <alignment horizontal="left"/>
    </xf>
    <xf borderId="0" fillId="0" fontId="10" numFmtId="0" xfId="0" applyAlignment="1" applyFont="1">
      <alignment horizontal="left"/>
    </xf>
    <xf borderId="8" fillId="0" fontId="7" numFmtId="0" xfId="0" applyAlignment="1" applyBorder="1" applyFont="1">
      <alignment horizontal="center" shrinkToFit="0" vertical="center" wrapText="1"/>
    </xf>
    <xf borderId="8" fillId="0" fontId="10" numFmtId="0" xfId="0" applyAlignment="1" applyBorder="1" applyFont="1">
      <alignment horizontal="center" vertical="center"/>
    </xf>
    <xf borderId="3" fillId="0" fontId="34" numFmtId="0" xfId="0" applyAlignment="1" applyBorder="1" applyFont="1">
      <alignment horizontal="center" vertical="center"/>
    </xf>
    <xf borderId="0" fillId="0" fontId="7" numFmtId="0" xfId="0" applyAlignment="1" applyFont="1">
      <alignment horizontal="left" vertical="center"/>
    </xf>
    <xf borderId="3" fillId="0" fontId="10" numFmtId="49" xfId="0" applyAlignment="1" applyBorder="1" applyFont="1" applyNumberFormat="1">
      <alignment horizontal="center" shrinkToFit="0" vertical="center" wrapText="1"/>
    </xf>
    <xf borderId="0" fillId="0" fontId="35" numFmtId="0" xfId="0" applyAlignment="1" applyFont="1">
      <alignment horizontal="center" vertical="center"/>
    </xf>
    <xf borderId="3" fillId="5" fontId="22" numFmtId="0" xfId="0" applyAlignment="1" applyBorder="1" applyFont="1">
      <alignment horizontal="center" shrinkToFit="0" vertical="center" wrapText="1"/>
    </xf>
    <xf borderId="3" fillId="0" fontId="36" numFmtId="0" xfId="0" applyAlignment="1" applyBorder="1" applyFont="1">
      <alignment horizontal="center" vertical="center"/>
    </xf>
    <xf borderId="3" fillId="4" fontId="7" numFmtId="0" xfId="0" applyAlignment="1" applyBorder="1" applyFont="1">
      <alignment horizontal="center" shrinkToFit="0" vertical="center" wrapText="1"/>
    </xf>
    <xf borderId="3" fillId="0" fontId="37" numFmtId="0" xfId="0" applyAlignment="1" applyBorder="1" applyFont="1">
      <alignment horizontal="center" vertical="center"/>
    </xf>
    <xf borderId="3" fillId="0" fontId="38" numFmtId="0" xfId="0" applyAlignment="1" applyBorder="1" applyFont="1">
      <alignment horizontal="center" shrinkToFit="0" vertical="center" wrapText="1"/>
    </xf>
    <xf borderId="3" fillId="4" fontId="39" numFmtId="0" xfId="0" applyAlignment="1" applyBorder="1" applyFont="1">
      <alignment horizontal="center" vertical="center"/>
    </xf>
    <xf borderId="3" fillId="0" fontId="40" numFmtId="0" xfId="0" applyAlignment="1" applyBorder="1" applyFont="1">
      <alignment horizontal="center" shrinkToFit="0" vertical="center" wrapText="1"/>
    </xf>
    <xf borderId="3" fillId="0" fontId="41" numFmtId="0" xfId="0" applyAlignment="1" applyBorder="1" applyFont="1">
      <alignment horizontal="center" shrinkToFit="0" vertical="center" wrapText="1"/>
    </xf>
    <xf borderId="3" fillId="0" fontId="42" numFmtId="0" xfId="0" applyAlignment="1" applyBorder="1" applyFont="1">
      <alignment horizontal="center" shrinkToFit="0" vertical="center" wrapText="1"/>
    </xf>
    <xf borderId="9" fillId="0" fontId="10" numFmtId="0" xfId="0" applyAlignment="1" applyBorder="1" applyFont="1">
      <alignment horizontal="center" shrinkToFit="0" vertical="center" wrapText="1"/>
    </xf>
    <xf borderId="10" fillId="4" fontId="7" numFmtId="0" xfId="0" applyAlignment="1" applyBorder="1" applyFont="1">
      <alignment horizontal="left"/>
    </xf>
    <xf borderId="7" fillId="4" fontId="7" numFmtId="0" xfId="0" applyAlignment="1" applyBorder="1" applyFont="1">
      <alignment horizontal="left" shrinkToFit="0" vertical="center" wrapText="1"/>
    </xf>
    <xf borderId="9" fillId="0" fontId="7" numFmtId="0" xfId="0" applyAlignment="1" applyBorder="1" applyFont="1">
      <alignment horizontal="center" vertical="center"/>
    </xf>
    <xf borderId="10" fillId="4" fontId="7" numFmtId="0" xfId="0" applyAlignment="1" applyBorder="1" applyFont="1">
      <alignment horizontal="left" shrinkToFit="0" vertical="center" wrapText="1"/>
    </xf>
    <xf borderId="3" fillId="7" fontId="10" numFmtId="0" xfId="0" applyAlignment="1" applyBorder="1" applyFill="1" applyFont="1">
      <alignment horizontal="center" shrinkToFit="0" vertical="center" wrapText="1"/>
    </xf>
    <xf borderId="3" fillId="0" fontId="43" numFmtId="0" xfId="0" applyAlignment="1" applyBorder="1" applyFont="1">
      <alignment horizontal="center" vertical="center"/>
    </xf>
    <xf borderId="8" fillId="0" fontId="44" numFmtId="0" xfId="0" applyAlignment="1" applyBorder="1" applyFont="1">
      <alignment horizontal="center" shrinkToFit="0" vertical="center" wrapText="1"/>
    </xf>
    <xf borderId="0" fillId="0" fontId="10" numFmtId="0" xfId="0" applyAlignment="1" applyFont="1">
      <alignment horizontal="left" shrinkToFit="0" vertical="center" wrapText="1"/>
    </xf>
    <xf borderId="0" fillId="0" fontId="11" numFmtId="0" xfId="0" applyAlignment="1" applyFont="1">
      <alignment horizontal="center" shrinkToFit="0" vertical="center" wrapText="1"/>
    </xf>
    <xf borderId="0" fillId="0" fontId="10" numFmtId="165" xfId="0" applyAlignment="1" applyFont="1" applyNumberFormat="1">
      <alignment horizontal="left" shrinkToFit="0" vertical="center" wrapText="1"/>
    </xf>
    <xf borderId="0" fillId="0" fontId="45" numFmtId="0" xfId="0" applyAlignment="1" applyFont="1">
      <alignment horizontal="left" shrinkToFit="0" vertical="center" wrapText="1"/>
    </xf>
    <xf borderId="0" fillId="0" fontId="10" numFmtId="3" xfId="0" applyAlignment="1" applyFont="1" applyNumberFormat="1">
      <alignment horizontal="left" shrinkToFit="0" vertical="center" wrapText="1"/>
    </xf>
    <xf borderId="0" fillId="0" fontId="46" numFmtId="0" xfId="0" applyAlignment="1" applyFont="1">
      <alignment horizontal="left" vertical="center"/>
    </xf>
    <xf borderId="0" fillId="0" fontId="6" numFmtId="0" xfId="0" applyAlignment="1" applyFont="1">
      <alignment horizontal="center"/>
    </xf>
    <xf borderId="0" fillId="0" fontId="47" numFmtId="0" xfId="0" applyAlignment="1" applyFont="1">
      <alignment horizontal="center"/>
    </xf>
    <xf borderId="9" fillId="8" fontId="5" numFmtId="0" xfId="0" applyAlignment="1" applyBorder="1" applyFill="1" applyFont="1">
      <alignment horizontal="left"/>
    </xf>
    <xf borderId="11" fillId="0" fontId="2" numFmtId="0" xfId="0" applyBorder="1" applyFont="1"/>
    <xf borderId="3" fillId="0" fontId="7" numFmtId="0" xfId="0" applyAlignment="1" applyBorder="1" applyFont="1">
      <alignment horizontal="left"/>
    </xf>
    <xf borderId="0" fillId="0" fontId="7" numFmtId="0" xfId="0" applyAlignment="1" applyFont="1">
      <alignment horizontal="left" readingOrder="0"/>
    </xf>
    <xf borderId="0" fillId="0" fontId="6" numFmtId="0" xfId="0" applyAlignment="1" applyFont="1">
      <alignment horizontal="center" readingOrder="0"/>
    </xf>
    <xf borderId="1" fillId="0" fontId="28" numFmtId="0" xfId="0" applyAlignment="1" applyBorder="1" applyFont="1">
      <alignment horizontal="center"/>
    </xf>
    <xf borderId="5" fillId="0" fontId="6" numFmtId="0" xfId="0" applyAlignment="1" applyBorder="1" applyFont="1">
      <alignment horizontal="center" vertical="center"/>
    </xf>
    <xf borderId="2" fillId="0" fontId="48" numFmtId="0" xfId="0" applyBorder="1" applyFont="1"/>
    <xf borderId="0" fillId="0" fontId="49" numFmtId="0" xfId="0" applyAlignment="1" applyFont="1">
      <alignment horizontal="center" shrinkToFit="0" vertical="center" wrapText="1"/>
    </xf>
    <xf borderId="1" fillId="0" fontId="11" numFmtId="0" xfId="0" applyAlignment="1" applyBorder="1" applyFont="1">
      <alignment horizontal="center" shrinkToFit="0" vertical="center" wrapText="1"/>
    </xf>
    <xf borderId="1" fillId="0" fontId="50" numFmtId="0" xfId="0" applyAlignment="1" applyBorder="1" applyFont="1">
      <alignment horizontal="center" shrinkToFit="0" vertical="center" wrapText="1"/>
    </xf>
    <xf borderId="1" fillId="0" fontId="51" numFmtId="0" xfId="0" applyAlignment="1" applyBorder="1" applyFont="1">
      <alignment horizontal="center" shrinkToFit="0" vertical="center" wrapText="1"/>
    </xf>
    <xf borderId="7" fillId="4" fontId="28" numFmtId="0" xfId="0" applyBorder="1" applyFont="1"/>
    <xf borderId="0" fillId="0" fontId="28" numFmtId="0" xfId="0" applyAlignment="1" applyFont="1">
      <alignment vertical="center"/>
    </xf>
    <xf borderId="0" fillId="0" fontId="52" numFmtId="0" xfId="0" applyFont="1"/>
    <xf borderId="12" fillId="0" fontId="28" numFmtId="0" xfId="0" applyBorder="1" applyFont="1"/>
    <xf borderId="13" fillId="5" fontId="10" numFmtId="0" xfId="0" applyAlignment="1" applyBorder="1" applyFont="1">
      <alignment horizontal="center" shrinkToFit="0" vertical="center" wrapText="1"/>
    </xf>
    <xf borderId="13" fillId="5" fontId="11" numFmtId="0" xfId="0" applyAlignment="1" applyBorder="1" applyFont="1">
      <alignment horizontal="center" shrinkToFit="0" vertical="center" wrapText="1"/>
    </xf>
    <xf borderId="3" fillId="5" fontId="7" numFmtId="165" xfId="0" applyAlignment="1" applyBorder="1" applyFont="1" applyNumberFormat="1">
      <alignment horizontal="center" shrinkToFit="0" vertical="center" wrapText="1"/>
    </xf>
    <xf borderId="7" fillId="5" fontId="28" numFmtId="0" xfId="0" applyBorder="1" applyFont="1"/>
    <xf borderId="14" fillId="0" fontId="10" numFmtId="0" xfId="0" applyAlignment="1" applyBorder="1" applyFont="1">
      <alignment horizontal="center" shrinkToFit="0" vertical="center" wrapText="1"/>
    </xf>
    <xf borderId="0" fillId="0" fontId="10" numFmtId="0" xfId="0" applyAlignment="1" applyFont="1">
      <alignment horizontal="center" shrinkToFit="0" vertical="center" wrapText="1"/>
    </xf>
    <xf borderId="0" fillId="0" fontId="53" numFmtId="0" xfId="0" applyAlignment="1" applyFont="1">
      <alignment horizontal="center" shrinkToFit="0" vertical="center" wrapText="1"/>
    </xf>
    <xf borderId="0" fillId="0" fontId="54" numFmtId="0" xfId="0" applyAlignment="1" applyFont="1">
      <alignment horizontal="center" shrinkToFit="0" vertical="center" wrapText="1"/>
    </xf>
    <xf borderId="0" fillId="0" fontId="55" numFmtId="0" xfId="0" applyAlignment="1" applyFont="1">
      <alignment horizontal="center" shrinkToFit="0" vertical="center" wrapText="1"/>
    </xf>
    <xf borderId="0" fillId="0" fontId="56" numFmtId="0" xfId="0" applyFont="1"/>
    <xf borderId="0" fillId="0" fontId="57" numFmtId="0" xfId="0" applyFont="1"/>
    <xf borderId="15" fillId="0" fontId="58" numFmtId="0" xfId="0" applyAlignment="1" applyBorder="1" applyFont="1">
      <alignment horizontal="center" shrinkToFit="0" vertical="center" wrapText="1"/>
    </xf>
    <xf borderId="1" fillId="0" fontId="59" numFmtId="0" xfId="0" applyAlignment="1" applyBorder="1" applyFont="1">
      <alignment horizontal="center" shrinkToFit="0" wrapText="1"/>
    </xf>
    <xf borderId="0" fillId="0" fontId="28" numFmtId="0" xfId="0" applyAlignment="1" applyFont="1">
      <alignment shrinkToFit="0" wrapText="1"/>
    </xf>
    <xf borderId="2" fillId="0" fontId="7" numFmtId="0" xfId="0" applyAlignment="1" applyBorder="1" applyFont="1">
      <alignment shrinkToFit="0" vertical="center" wrapText="1"/>
    </xf>
    <xf borderId="0" fillId="0" fontId="60" numFmtId="0" xfId="0" applyAlignment="1" applyFont="1">
      <alignment horizontal="center" shrinkToFit="0" vertical="center" wrapText="1"/>
    </xf>
    <xf borderId="7" fillId="4" fontId="28" numFmtId="0" xfId="0" applyAlignment="1" applyBorder="1" applyFont="1">
      <alignment shrinkToFit="0" wrapText="1"/>
    </xf>
    <xf borderId="13" fillId="3" fontId="9" numFmtId="0" xfId="0" applyAlignment="1" applyBorder="1" applyFont="1">
      <alignment horizontal="center" shrinkToFit="0" vertical="center" wrapText="1"/>
    </xf>
    <xf borderId="0" fillId="0" fontId="61" numFmtId="0" xfId="0" applyFont="1"/>
    <xf borderId="1" fillId="0" fontId="10" numFmtId="0" xfId="0" applyAlignment="1" applyBorder="1" applyFont="1">
      <alignment horizontal="center" shrinkToFit="0" vertical="top" wrapText="1"/>
    </xf>
    <xf borderId="7" fillId="4" fontId="62" numFmtId="0" xfId="0" applyBorder="1" applyFont="1"/>
    <xf borderId="7" fillId="4" fontId="28" numFmtId="0" xfId="0" applyAlignment="1" applyBorder="1" applyFont="1">
      <alignment horizontal="center" shrinkToFit="0" vertical="center" wrapText="1"/>
    </xf>
    <xf borderId="0" fillId="0" fontId="28" numFmtId="0" xfId="0" applyAlignment="1" applyFont="1">
      <alignment horizontal="center" shrinkToFit="0" vertical="center" wrapText="1"/>
    </xf>
    <xf borderId="16" fillId="0" fontId="10" numFmtId="0" xfId="0" applyAlignment="1" applyBorder="1" applyFont="1">
      <alignment horizontal="center" shrinkToFit="0" vertical="center" wrapText="1"/>
    </xf>
    <xf borderId="16" fillId="0" fontId="7" numFmtId="0" xfId="0" applyAlignment="1" applyBorder="1" applyFont="1">
      <alignment horizontal="center" shrinkToFit="0" vertical="center" wrapText="1"/>
    </xf>
    <xf borderId="3" fillId="0" fontId="10" numFmtId="0" xfId="0" applyAlignment="1" applyBorder="1" applyFont="1">
      <alignment horizontal="left" shrinkToFit="0" vertical="center" wrapText="1"/>
    </xf>
    <xf borderId="0" fillId="0" fontId="63" numFmtId="0" xfId="0" applyFont="1"/>
    <xf borderId="17" fillId="3" fontId="9" numFmtId="0" xfId="0" applyAlignment="1" applyBorder="1" applyFont="1">
      <alignment horizontal="center" shrinkToFit="0" vertical="center" wrapText="1"/>
    </xf>
    <xf borderId="2" fillId="0" fontId="10" numFmtId="0" xfId="0" applyAlignment="1" applyBorder="1" applyFont="1">
      <alignment horizontal="center" shrinkToFit="0" vertical="center" wrapText="1"/>
    </xf>
    <xf borderId="4" fillId="0" fontId="10" numFmtId="0" xfId="0" applyAlignment="1" applyBorder="1" applyFont="1">
      <alignment horizontal="center" shrinkToFit="0" vertical="center" wrapText="1"/>
    </xf>
    <xf borderId="16" fillId="0" fontId="11" numFmtId="0" xfId="0" applyAlignment="1" applyBorder="1" applyFont="1">
      <alignment horizontal="center" shrinkToFit="0" vertical="center" wrapText="1"/>
    </xf>
    <xf borderId="0" fillId="0" fontId="48" numFmtId="0" xfId="0" applyFont="1"/>
    <xf borderId="0" fillId="0" fontId="64" numFmtId="0" xfId="0" applyFont="1"/>
    <xf borderId="0" fillId="0" fontId="65" numFmtId="0" xfId="0" applyFont="1"/>
    <xf borderId="0" fillId="0" fontId="48" numFmtId="165" xfId="0" applyFont="1" applyNumberFormat="1"/>
    <xf borderId="0" fillId="0" fontId="66" numFmtId="0" xfId="0" applyFont="1"/>
    <xf borderId="0" fillId="0" fontId="28" numFmtId="165" xfId="0" applyFont="1" applyNumberFormat="1"/>
    <xf borderId="6" fillId="0" fontId="67" numFmtId="0" xfId="0" applyAlignment="1" applyBorder="1" applyFont="1">
      <alignment vertical="center"/>
    </xf>
    <xf borderId="0" fillId="0" fontId="22" numFmtId="0" xfId="0" applyAlignment="1" applyFont="1">
      <alignment horizontal="center" vertical="center"/>
    </xf>
    <xf borderId="6" fillId="0" fontId="67" numFmtId="0" xfId="0" applyAlignment="1" applyBorder="1" applyFont="1">
      <alignment horizontal="center" vertical="center"/>
    </xf>
    <xf borderId="0" fillId="0" fontId="28" numFmtId="0" xfId="0" applyAlignment="1" applyFont="1">
      <alignment horizontal="center" vertical="center"/>
    </xf>
    <xf borderId="4" fillId="0" fontId="48" numFmtId="0" xfId="0" applyBorder="1" applyFont="1"/>
    <xf borderId="18" fillId="9" fontId="68" numFmtId="0" xfId="0" applyAlignment="1" applyBorder="1" applyFill="1" applyFont="1">
      <alignment horizontal="center"/>
    </xf>
    <xf borderId="19" fillId="0" fontId="2" numFmtId="0" xfId="0" applyBorder="1" applyFont="1"/>
    <xf borderId="4" fillId="0" fontId="48" numFmtId="0" xfId="0" applyAlignment="1" applyBorder="1" applyFont="1">
      <alignment shrinkToFit="0" wrapText="1"/>
    </xf>
    <xf borderId="20" fillId="0" fontId="48" numFmtId="0" xfId="0" applyBorder="1" applyFont="1"/>
    <xf borderId="5" fillId="0" fontId="48" numFmtId="0" xfId="0" applyAlignment="1" applyBorder="1" applyFont="1">
      <alignment shrinkToFit="0" wrapText="1"/>
    </xf>
    <xf borderId="21" fillId="0" fontId="48" numFmtId="0" xfId="0" applyBorder="1" applyFont="1"/>
    <xf borderId="10" fillId="5" fontId="69" numFmtId="0" xfId="0" applyAlignment="1" applyBorder="1" applyFont="1">
      <alignment shrinkToFit="0" wrapText="1"/>
    </xf>
    <xf borderId="22" fillId="5" fontId="69" numFmtId="0" xfId="0" applyBorder="1" applyFont="1"/>
    <xf borderId="0" fillId="0" fontId="48" numFmtId="0" xfId="0" applyAlignment="1" applyFont="1">
      <alignment shrinkToFit="0" wrapText="1"/>
    </xf>
    <xf borderId="18" fillId="10" fontId="70" numFmtId="0" xfId="0" applyAlignment="1" applyBorder="1" applyFill="1" applyFont="1">
      <alignment horizontal="center"/>
    </xf>
    <xf borderId="0" fillId="0" fontId="64" numFmtId="0" xfId="0" applyAlignment="1" applyFont="1">
      <alignment shrinkToFit="0" vertical="center" wrapText="1"/>
    </xf>
    <xf borderId="0" fillId="0" fontId="71" numFmtId="0" xfId="0" applyAlignment="1" applyFont="1">
      <alignment vertical="center"/>
    </xf>
    <xf borderId="4" fillId="0" fontId="65" numFmtId="0" xfId="0" applyAlignment="1" applyBorder="1" applyFont="1">
      <alignment shrinkToFit="0" wrapText="1"/>
    </xf>
    <xf borderId="20" fillId="0" fontId="65" numFmtId="0" xfId="0" applyBorder="1" applyFont="1"/>
    <xf borderId="1" fillId="0" fontId="72" numFmtId="0" xfId="0" applyAlignment="1" applyBorder="1" applyFont="1">
      <alignment horizontal="center"/>
    </xf>
    <xf borderId="23" fillId="0" fontId="2" numFmtId="0" xfId="0" applyBorder="1" applyFont="1"/>
    <xf borderId="21" fillId="0" fontId="48" numFmtId="0" xfId="0" applyAlignment="1" applyBorder="1" applyFont="1">
      <alignment shrinkToFit="0" wrapText="1"/>
    </xf>
    <xf borderId="18" fillId="11" fontId="73" numFmtId="0" xfId="0" applyAlignment="1" applyBorder="1" applyFill="1" applyFont="1">
      <alignment horizontal="center"/>
    </xf>
    <xf borderId="4" fillId="0" fontId="65" numFmtId="0" xfId="0" applyBorder="1" applyFont="1"/>
    <xf borderId="20" fillId="0" fontId="65" numFmtId="0" xfId="0" applyAlignment="1" applyBorder="1" applyFont="1">
      <alignment shrinkToFit="0" wrapText="1"/>
    </xf>
    <xf borderId="4" fillId="0" fontId="65" numFmtId="0" xfId="0" applyAlignment="1" applyBorder="1" applyFont="1">
      <alignment shrinkToFit="0" vertical="center" wrapText="1"/>
    </xf>
    <xf borderId="10" fillId="12" fontId="65" numFmtId="0" xfId="0" applyAlignment="1" applyBorder="1" applyFill="1" applyFont="1">
      <alignment shrinkToFit="0" wrapText="1"/>
    </xf>
    <xf borderId="22" fillId="12" fontId="65" numFmtId="0" xfId="0" applyAlignment="1" applyBorder="1" applyFont="1">
      <alignment shrinkToFit="0" wrapText="1"/>
    </xf>
    <xf borderId="20" fillId="0" fontId="48" numFmtId="0" xfId="0" applyAlignment="1" applyBorder="1" applyFont="1">
      <alignment shrinkToFit="0" wrapText="1"/>
    </xf>
    <xf borderId="10" fillId="12" fontId="48" numFmtId="0" xfId="0" applyAlignment="1" applyBorder="1" applyFont="1">
      <alignment shrinkToFit="0" wrapText="1"/>
    </xf>
    <xf borderId="22" fillId="12" fontId="48" numFmtId="0" xfId="0" applyAlignment="1" applyBorder="1" applyFont="1">
      <alignment shrinkToFit="0" wrapText="1"/>
    </xf>
    <xf borderId="4" fillId="0" fontId="48" numFmtId="0" xfId="0" applyAlignment="1" applyBorder="1" applyFont="1">
      <alignment shrinkToFit="0" vertical="center" wrapText="1"/>
    </xf>
    <xf borderId="24" fillId="5" fontId="69" numFmtId="0" xfId="0" applyAlignment="1" applyBorder="1" applyFont="1">
      <alignment shrinkToFit="0" wrapText="1"/>
    </xf>
    <xf borderId="25" fillId="5" fontId="69" numFmtId="0" xfId="0" applyAlignment="1" applyBorder="1" applyFont="1">
      <alignment shrinkToFit="0" wrapText="1"/>
    </xf>
  </cellXfs>
  <cellStyles count="1">
    <cellStyle xfId="0" name="Normal" builtinId="0"/>
  </cellStyles>
  <dxfs count="6">
    <dxf>
      <font/>
      <fill>
        <patternFill patternType="solid">
          <fgColor rgb="FFC2D69B"/>
          <bgColor rgb="FFC2D69B"/>
        </patternFill>
      </fill>
      <border/>
    </dxf>
    <dxf>
      <font/>
      <fill>
        <patternFill patternType="solid">
          <fgColor rgb="FFA5A5A5"/>
          <bgColor rgb="FFA5A5A5"/>
        </patternFill>
      </fill>
      <border/>
    </dxf>
    <dxf>
      <font/>
      <fill>
        <patternFill patternType="solid">
          <fgColor rgb="FFB2A1C7"/>
          <bgColor rgb="FFB2A1C7"/>
        </patternFill>
      </fill>
      <border/>
    </dxf>
    <dxf>
      <font/>
      <fill>
        <patternFill patternType="solid">
          <fgColor theme="9"/>
          <bgColor theme="9"/>
        </patternFill>
      </fill>
      <border/>
    </dxf>
    <dxf>
      <font/>
      <fill>
        <patternFill patternType="solid">
          <fgColor rgb="FFC00000"/>
          <bgColor rgb="FFC00000"/>
        </patternFill>
      </fill>
      <border/>
    </dxf>
    <dxf>
      <font>
        <color rgb="FF9C0006"/>
      </font>
      <fill>
        <patternFill patternType="solid">
          <fgColor rgb="FFFFC7CE"/>
          <bgColor rgb="FFFFC7CE"/>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ocumenttasks/documenttask7.xml><?xml version="1.0" encoding="utf-8"?>
<Tasks xmlns="http://schemas.microsoft.com/office/tasks/2019/documenttasks"/>
</file>

<file path=xl/documenttasks/documenttask8.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2.jpg"/></Relationships>
</file>

<file path=xl/drawings/_rels/drawing2.xml.rels><?xml version="1.0" encoding="UTF-8" standalone="yes"?><Relationships xmlns="http://schemas.openxmlformats.org/package/2006/relationships"><Relationship Id="rId1" Type="http://schemas.openxmlformats.org/officeDocument/2006/relationships/hyperlink" Target="#INICIO!A1" TargetMode="External"/><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hyperlink" Target="#INICIO!A1" TargetMode="External"/><Relationship Id="rId2"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hyperlink" Target="#INICIO!A1" TargetMode="External"/><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hyperlink" Target="#INICIO!A1" TargetMode="External"/><Relationship Id="rId2"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hyperlink" Target="#INICIO!A1" TargetMode="External"/><Relationship Id="rId2"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hyperlink" Target="#INICIO!A1" TargetMode="External"/><Relationship Id="rId2"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hyperlink" Target="#INICIO!A1" TargetMode="External"/><Relationship Id="rId2"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hyperlink" Target="#INICIO!A1" TargetMode="External"/><Relationship Id="rId2"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hyperlink" Target="#INICIO!A1" TargetMode="Externa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161925</xdr:rowOff>
    </xdr:from>
    <xdr:ext cx="1571625" cy="390525"/>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2009775</xdr:colOff>
      <xdr:row>0</xdr:row>
      <xdr:rowOff>57150</xdr:rowOff>
    </xdr:from>
    <xdr:ext cx="781050" cy="514350"/>
    <xdr:sp>
      <xdr:nvSpPr>
        <xdr:cNvPr id="3" name="Shape 3">
          <a:hlinkClick r:id="rId1"/>
        </xdr:cNvPr>
        <xdr:cNvSpPr/>
      </xdr:nvSpPr>
      <xdr:spPr>
        <a:xfrm>
          <a:off x="4960238" y="3527588"/>
          <a:ext cx="771525" cy="504825"/>
        </a:xfrm>
        <a:prstGeom prst="leftArrow">
          <a:avLst>
            <a:gd fmla="val 50000" name="adj1"/>
            <a:gd fmla="val 50000" name="adj2"/>
          </a:avLst>
        </a:prstGeom>
        <a:solidFill>
          <a:schemeClr val="accent1"/>
        </a:solidFill>
        <a:ln cap="flat" cmpd="sng" w="12700">
          <a:solidFill>
            <a:srgbClr val="21364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200">
              <a:solidFill>
                <a:schemeClr val="lt1"/>
              </a:solidFill>
              <a:latin typeface="Calibri"/>
              <a:ea typeface="Calibri"/>
              <a:cs typeface="Calibri"/>
              <a:sym typeface="Calibri"/>
            </a:rPr>
            <a:t>INICIO</a:t>
          </a:r>
          <a:endParaRPr sz="1400"/>
        </a:p>
      </xdr:txBody>
    </xdr:sp>
    <xdr:clientData fLocksWithSheet="0"/>
  </xdr:oneCellAnchor>
  <xdr:oneCellAnchor>
    <xdr:from>
      <xdr:col>0</xdr:col>
      <xdr:colOff>381000</xdr:colOff>
      <xdr:row>0</xdr:row>
      <xdr:rowOff>66675</xdr:rowOff>
    </xdr:from>
    <xdr:ext cx="1104900" cy="5238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1905000</xdr:colOff>
      <xdr:row>0</xdr:row>
      <xdr:rowOff>38100</xdr:rowOff>
    </xdr:from>
    <xdr:ext cx="781050" cy="514350"/>
    <xdr:sp>
      <xdr:nvSpPr>
        <xdr:cNvPr id="4" name="Shape 4">
          <a:hlinkClick r:id="rId1"/>
        </xdr:cNvPr>
        <xdr:cNvSpPr/>
      </xdr:nvSpPr>
      <xdr:spPr>
        <a:xfrm>
          <a:off x="4960238" y="3527588"/>
          <a:ext cx="771525" cy="504825"/>
        </a:xfrm>
        <a:prstGeom prst="leftArrow">
          <a:avLst>
            <a:gd fmla="val 50000" name="adj1"/>
            <a:gd fmla="val 50000" name="adj2"/>
          </a:avLst>
        </a:prstGeom>
        <a:solidFill>
          <a:schemeClr val="accent1"/>
        </a:solidFill>
        <a:ln cap="flat" cmpd="sng" w="12700">
          <a:solidFill>
            <a:srgbClr val="21364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200">
              <a:solidFill>
                <a:schemeClr val="lt1"/>
              </a:solidFill>
              <a:latin typeface="Calibri"/>
              <a:ea typeface="Calibri"/>
              <a:cs typeface="Calibri"/>
              <a:sym typeface="Calibri"/>
            </a:rPr>
            <a:t>INICIO</a:t>
          </a:r>
          <a:endParaRPr sz="1400"/>
        </a:p>
      </xdr:txBody>
    </xdr:sp>
    <xdr:clientData fLocksWithSheet="0"/>
  </xdr:oneCellAnchor>
  <xdr:oneCellAnchor>
    <xdr:from>
      <xdr:col>0</xdr:col>
      <xdr:colOff>133350</xdr:colOff>
      <xdr:row>0</xdr:row>
      <xdr:rowOff>66675</xdr:rowOff>
    </xdr:from>
    <xdr:ext cx="1104900" cy="5238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2028825</xdr:colOff>
      <xdr:row>0</xdr:row>
      <xdr:rowOff>28575</xdr:rowOff>
    </xdr:from>
    <xdr:ext cx="781050" cy="514350"/>
    <xdr:sp>
      <xdr:nvSpPr>
        <xdr:cNvPr id="5" name="Shape 5">
          <a:hlinkClick r:id="rId1"/>
        </xdr:cNvPr>
        <xdr:cNvSpPr/>
      </xdr:nvSpPr>
      <xdr:spPr>
        <a:xfrm>
          <a:off x="4960238" y="3527588"/>
          <a:ext cx="771525" cy="504825"/>
        </a:xfrm>
        <a:prstGeom prst="leftArrow">
          <a:avLst>
            <a:gd fmla="val 50000" name="adj1"/>
            <a:gd fmla="val 50000" name="adj2"/>
          </a:avLst>
        </a:prstGeom>
        <a:solidFill>
          <a:schemeClr val="accent1"/>
        </a:solidFill>
        <a:ln cap="flat" cmpd="sng" w="12700">
          <a:solidFill>
            <a:srgbClr val="21364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200">
              <a:solidFill>
                <a:schemeClr val="lt1"/>
              </a:solidFill>
              <a:latin typeface="Calibri"/>
              <a:ea typeface="Calibri"/>
              <a:cs typeface="Calibri"/>
              <a:sym typeface="Calibri"/>
            </a:rPr>
            <a:t>INICIO</a:t>
          </a:r>
          <a:endParaRPr sz="1400"/>
        </a:p>
      </xdr:txBody>
    </xdr:sp>
    <xdr:clientData fLocksWithSheet="0"/>
  </xdr:oneCellAnchor>
  <xdr:oneCellAnchor>
    <xdr:from>
      <xdr:col>0</xdr:col>
      <xdr:colOff>381000</xdr:colOff>
      <xdr:row>0</xdr:row>
      <xdr:rowOff>76200</xdr:rowOff>
    </xdr:from>
    <xdr:ext cx="1104900" cy="5238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2009775</xdr:colOff>
      <xdr:row>0</xdr:row>
      <xdr:rowOff>66675</xdr:rowOff>
    </xdr:from>
    <xdr:ext cx="781050" cy="514350"/>
    <xdr:sp>
      <xdr:nvSpPr>
        <xdr:cNvPr id="6" name="Shape 6">
          <a:hlinkClick r:id="rId1"/>
        </xdr:cNvPr>
        <xdr:cNvSpPr/>
      </xdr:nvSpPr>
      <xdr:spPr>
        <a:xfrm>
          <a:off x="4960238" y="3527588"/>
          <a:ext cx="771525" cy="504825"/>
        </a:xfrm>
        <a:prstGeom prst="leftArrow">
          <a:avLst>
            <a:gd fmla="val 50000" name="adj1"/>
            <a:gd fmla="val 50000" name="adj2"/>
          </a:avLst>
        </a:prstGeom>
        <a:solidFill>
          <a:schemeClr val="accent1"/>
        </a:solidFill>
        <a:ln cap="flat" cmpd="sng" w="12700">
          <a:solidFill>
            <a:srgbClr val="21364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200">
              <a:solidFill>
                <a:schemeClr val="lt1"/>
              </a:solidFill>
              <a:latin typeface="Calibri"/>
              <a:ea typeface="Calibri"/>
              <a:cs typeface="Calibri"/>
              <a:sym typeface="Calibri"/>
            </a:rPr>
            <a:t>INICIO</a:t>
          </a:r>
          <a:endParaRPr sz="1400"/>
        </a:p>
      </xdr:txBody>
    </xdr:sp>
    <xdr:clientData fLocksWithSheet="0"/>
  </xdr:oneCellAnchor>
  <xdr:oneCellAnchor>
    <xdr:from>
      <xdr:col>0</xdr:col>
      <xdr:colOff>0</xdr:colOff>
      <xdr:row>0</xdr:row>
      <xdr:rowOff>0</xdr:rowOff>
    </xdr:from>
    <xdr:ext cx="1581150" cy="638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6</xdr:row>
      <xdr:rowOff>0</xdr:rowOff>
    </xdr:from>
    <xdr:ext cx="419100" cy="419100"/>
    <xdr:sp>
      <xdr:nvSpPr>
        <xdr:cNvPr id="7" name="Shape 7"/>
        <xdr:cNvSpPr/>
      </xdr:nvSpPr>
      <xdr:spPr>
        <a:xfrm>
          <a:off x="5141213" y="3575213"/>
          <a:ext cx="409575" cy="409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6</xdr:row>
      <xdr:rowOff>0</xdr:rowOff>
    </xdr:from>
    <xdr:ext cx="419100" cy="419100"/>
    <xdr:sp>
      <xdr:nvSpPr>
        <xdr:cNvPr id="7" name="Shape 7"/>
        <xdr:cNvSpPr/>
      </xdr:nvSpPr>
      <xdr:spPr>
        <a:xfrm>
          <a:off x="5141213" y="3575213"/>
          <a:ext cx="409575" cy="409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6</xdr:row>
      <xdr:rowOff>0</xdr:rowOff>
    </xdr:from>
    <xdr:ext cx="419100" cy="419100"/>
    <xdr:sp>
      <xdr:nvSpPr>
        <xdr:cNvPr id="7" name="Shape 7"/>
        <xdr:cNvSpPr/>
      </xdr:nvSpPr>
      <xdr:spPr>
        <a:xfrm>
          <a:off x="5141213" y="3575213"/>
          <a:ext cx="409575" cy="409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2019300</xdr:colOff>
      <xdr:row>0</xdr:row>
      <xdr:rowOff>38100</xdr:rowOff>
    </xdr:from>
    <xdr:ext cx="781050" cy="514350"/>
    <xdr:sp>
      <xdr:nvSpPr>
        <xdr:cNvPr id="8" name="Shape 8">
          <a:hlinkClick r:id="rId1"/>
        </xdr:cNvPr>
        <xdr:cNvSpPr/>
      </xdr:nvSpPr>
      <xdr:spPr>
        <a:xfrm>
          <a:off x="4960238" y="3527588"/>
          <a:ext cx="771525" cy="504825"/>
        </a:xfrm>
        <a:prstGeom prst="leftArrow">
          <a:avLst>
            <a:gd fmla="val 50000" name="adj1"/>
            <a:gd fmla="val 50000" name="adj2"/>
          </a:avLst>
        </a:prstGeom>
        <a:solidFill>
          <a:schemeClr val="accent1"/>
        </a:solidFill>
        <a:ln cap="flat" cmpd="sng" w="12700">
          <a:solidFill>
            <a:srgbClr val="21364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200">
              <a:solidFill>
                <a:schemeClr val="lt1"/>
              </a:solidFill>
              <a:latin typeface="Calibri"/>
              <a:ea typeface="Calibri"/>
              <a:cs typeface="Calibri"/>
              <a:sym typeface="Calibri"/>
            </a:rPr>
            <a:t>INICIO</a:t>
          </a:r>
          <a:endParaRPr sz="1400"/>
        </a:p>
      </xdr:txBody>
    </xdr:sp>
    <xdr:clientData fLocksWithSheet="0"/>
  </xdr:oneCellAnchor>
  <xdr:oneCellAnchor>
    <xdr:from>
      <xdr:col>0</xdr:col>
      <xdr:colOff>0</xdr:colOff>
      <xdr:row>0</xdr:row>
      <xdr:rowOff>0</xdr:rowOff>
    </xdr:from>
    <xdr:ext cx="1581150" cy="638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25</xdr:row>
      <xdr:rowOff>0</xdr:rowOff>
    </xdr:from>
    <xdr:ext cx="419100" cy="419100"/>
    <xdr:sp>
      <xdr:nvSpPr>
        <xdr:cNvPr id="9" name="Shape 9"/>
        <xdr:cNvSpPr/>
      </xdr:nvSpPr>
      <xdr:spPr>
        <a:xfrm>
          <a:off x="5141213" y="3575213"/>
          <a:ext cx="409575" cy="409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25</xdr:row>
      <xdr:rowOff>0</xdr:rowOff>
    </xdr:from>
    <xdr:ext cx="419100" cy="419100"/>
    <xdr:sp>
      <xdr:nvSpPr>
        <xdr:cNvPr id="9" name="Shape 9"/>
        <xdr:cNvSpPr/>
      </xdr:nvSpPr>
      <xdr:spPr>
        <a:xfrm>
          <a:off x="5141213" y="3575213"/>
          <a:ext cx="409575" cy="409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25</xdr:row>
      <xdr:rowOff>0</xdr:rowOff>
    </xdr:from>
    <xdr:ext cx="419100" cy="419100"/>
    <xdr:sp>
      <xdr:nvSpPr>
        <xdr:cNvPr id="9" name="Shape 9"/>
        <xdr:cNvSpPr/>
      </xdr:nvSpPr>
      <xdr:spPr>
        <a:xfrm>
          <a:off x="5141213" y="3575213"/>
          <a:ext cx="409575" cy="409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12</xdr:row>
      <xdr:rowOff>0</xdr:rowOff>
    </xdr:from>
    <xdr:ext cx="419100" cy="419100"/>
    <xdr:sp>
      <xdr:nvSpPr>
        <xdr:cNvPr id="9" name="Shape 9"/>
        <xdr:cNvSpPr/>
      </xdr:nvSpPr>
      <xdr:spPr>
        <a:xfrm>
          <a:off x="5141213" y="3575213"/>
          <a:ext cx="409575" cy="409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12</xdr:row>
      <xdr:rowOff>0</xdr:rowOff>
    </xdr:from>
    <xdr:ext cx="419100" cy="419100"/>
    <xdr:sp>
      <xdr:nvSpPr>
        <xdr:cNvPr id="9" name="Shape 9"/>
        <xdr:cNvSpPr/>
      </xdr:nvSpPr>
      <xdr:spPr>
        <a:xfrm>
          <a:off x="5141213" y="3575213"/>
          <a:ext cx="409575" cy="409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12</xdr:row>
      <xdr:rowOff>0</xdr:rowOff>
    </xdr:from>
    <xdr:ext cx="419100" cy="419100"/>
    <xdr:sp>
      <xdr:nvSpPr>
        <xdr:cNvPr id="9" name="Shape 9"/>
        <xdr:cNvSpPr/>
      </xdr:nvSpPr>
      <xdr:spPr>
        <a:xfrm>
          <a:off x="5141213" y="3575213"/>
          <a:ext cx="409575" cy="409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2028825</xdr:colOff>
      <xdr:row>0</xdr:row>
      <xdr:rowOff>66675</xdr:rowOff>
    </xdr:from>
    <xdr:ext cx="781050" cy="514350"/>
    <xdr:sp>
      <xdr:nvSpPr>
        <xdr:cNvPr id="10" name="Shape 10">
          <a:hlinkClick r:id="rId1"/>
        </xdr:cNvPr>
        <xdr:cNvSpPr/>
      </xdr:nvSpPr>
      <xdr:spPr>
        <a:xfrm>
          <a:off x="4960238" y="3527588"/>
          <a:ext cx="771525" cy="504825"/>
        </a:xfrm>
        <a:prstGeom prst="leftArrow">
          <a:avLst>
            <a:gd fmla="val 50000" name="adj1"/>
            <a:gd fmla="val 50000" name="adj2"/>
          </a:avLst>
        </a:prstGeom>
        <a:solidFill>
          <a:schemeClr val="accent1"/>
        </a:solidFill>
        <a:ln cap="flat" cmpd="sng" w="12700">
          <a:solidFill>
            <a:srgbClr val="21364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200">
              <a:solidFill>
                <a:schemeClr val="lt1"/>
              </a:solidFill>
              <a:latin typeface="Calibri"/>
              <a:ea typeface="Calibri"/>
              <a:cs typeface="Calibri"/>
              <a:sym typeface="Calibri"/>
            </a:rPr>
            <a:t>INICIO</a:t>
          </a:r>
          <a:endParaRPr sz="1400"/>
        </a:p>
      </xdr:txBody>
    </xdr:sp>
    <xdr:clientData fLocksWithSheet="0"/>
  </xdr:oneCellAnchor>
  <xdr:oneCellAnchor>
    <xdr:from>
      <xdr:col>0</xdr:col>
      <xdr:colOff>0</xdr:colOff>
      <xdr:row>0</xdr:row>
      <xdr:rowOff>0</xdr:rowOff>
    </xdr:from>
    <xdr:ext cx="1581150" cy="638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14</xdr:row>
      <xdr:rowOff>0</xdr:rowOff>
    </xdr:from>
    <xdr:ext cx="419100" cy="419100"/>
    <xdr:sp>
      <xdr:nvSpPr>
        <xdr:cNvPr id="9" name="Shape 9"/>
        <xdr:cNvSpPr/>
      </xdr:nvSpPr>
      <xdr:spPr>
        <a:xfrm>
          <a:off x="5141213" y="3575213"/>
          <a:ext cx="409575" cy="409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14</xdr:row>
      <xdr:rowOff>0</xdr:rowOff>
    </xdr:from>
    <xdr:ext cx="419100" cy="419100"/>
    <xdr:sp>
      <xdr:nvSpPr>
        <xdr:cNvPr id="9" name="Shape 9"/>
        <xdr:cNvSpPr/>
      </xdr:nvSpPr>
      <xdr:spPr>
        <a:xfrm>
          <a:off x="5141213" y="3575213"/>
          <a:ext cx="409575" cy="409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12</xdr:col>
      <xdr:colOff>0</xdr:colOff>
      <xdr:row>14</xdr:row>
      <xdr:rowOff>0</xdr:rowOff>
    </xdr:from>
    <xdr:ext cx="419100" cy="419100"/>
    <xdr:sp>
      <xdr:nvSpPr>
        <xdr:cNvPr id="9" name="Shape 9"/>
        <xdr:cNvSpPr/>
      </xdr:nvSpPr>
      <xdr:spPr>
        <a:xfrm>
          <a:off x="5141213" y="3575213"/>
          <a:ext cx="409575" cy="4095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0</xdr:col>
      <xdr:colOff>2000250</xdr:colOff>
      <xdr:row>0</xdr:row>
      <xdr:rowOff>66675</xdr:rowOff>
    </xdr:from>
    <xdr:ext cx="781050" cy="514350"/>
    <xdr:sp>
      <xdr:nvSpPr>
        <xdr:cNvPr id="11" name="Shape 11">
          <a:hlinkClick r:id="rId1"/>
        </xdr:cNvPr>
        <xdr:cNvSpPr/>
      </xdr:nvSpPr>
      <xdr:spPr>
        <a:xfrm>
          <a:off x="4960238" y="3527588"/>
          <a:ext cx="771525" cy="504825"/>
        </a:xfrm>
        <a:prstGeom prst="leftArrow">
          <a:avLst>
            <a:gd fmla="val 50000" name="adj1"/>
            <a:gd fmla="val 50000" name="adj2"/>
          </a:avLst>
        </a:prstGeom>
        <a:solidFill>
          <a:schemeClr val="accent1"/>
        </a:solidFill>
        <a:ln cap="flat" cmpd="sng" w="12700">
          <a:solidFill>
            <a:srgbClr val="21364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200">
              <a:solidFill>
                <a:schemeClr val="lt1"/>
              </a:solidFill>
              <a:latin typeface="Calibri"/>
              <a:ea typeface="Calibri"/>
              <a:cs typeface="Calibri"/>
              <a:sym typeface="Calibri"/>
            </a:rPr>
            <a:t>INICIO</a:t>
          </a:r>
          <a:endParaRPr sz="1400"/>
        </a:p>
      </xdr:txBody>
    </xdr:sp>
    <xdr:clientData fLocksWithSheet="0"/>
  </xdr:oneCellAnchor>
  <xdr:oneCellAnchor>
    <xdr:from>
      <xdr:col>0</xdr:col>
      <xdr:colOff>0</xdr:colOff>
      <xdr:row>0</xdr:row>
      <xdr:rowOff>0</xdr:rowOff>
    </xdr:from>
    <xdr:ext cx="1581150" cy="638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2019300</xdr:colOff>
      <xdr:row>0</xdr:row>
      <xdr:rowOff>38100</xdr:rowOff>
    </xdr:from>
    <xdr:ext cx="781050" cy="514350"/>
    <xdr:sp>
      <xdr:nvSpPr>
        <xdr:cNvPr id="12" name="Shape 12">
          <a:hlinkClick r:id="rId1"/>
        </xdr:cNvPr>
        <xdr:cNvSpPr/>
      </xdr:nvSpPr>
      <xdr:spPr>
        <a:xfrm>
          <a:off x="4960238" y="3527588"/>
          <a:ext cx="771525" cy="504825"/>
        </a:xfrm>
        <a:prstGeom prst="leftArrow">
          <a:avLst>
            <a:gd fmla="val 50000" name="adj1"/>
            <a:gd fmla="val 50000" name="adj2"/>
          </a:avLst>
        </a:prstGeom>
        <a:solidFill>
          <a:schemeClr val="accent1"/>
        </a:solidFill>
        <a:ln cap="flat" cmpd="sng" w="12700">
          <a:solidFill>
            <a:srgbClr val="21364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200">
              <a:solidFill>
                <a:schemeClr val="lt1"/>
              </a:solidFill>
              <a:latin typeface="Calibri"/>
              <a:ea typeface="Calibri"/>
              <a:cs typeface="Calibri"/>
              <a:sym typeface="Calibri"/>
            </a:rPr>
            <a:t>INICIO</a:t>
          </a:r>
          <a:endParaRPr sz="1400"/>
        </a:p>
      </xdr:txBody>
    </xdr:sp>
    <xdr:clientData fLocksWithSheet="0"/>
  </xdr:oneCellAnchor>
  <xdr:oneCellAnchor>
    <xdr:from>
      <xdr:col>0</xdr:col>
      <xdr:colOff>0</xdr:colOff>
      <xdr:row>0</xdr:row>
      <xdr:rowOff>0</xdr:rowOff>
    </xdr:from>
    <xdr:ext cx="1581150" cy="63817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438150</xdr:colOff>
      <xdr:row>0</xdr:row>
      <xdr:rowOff>104775</xdr:rowOff>
    </xdr:from>
    <xdr:ext cx="781050" cy="704850"/>
    <xdr:sp>
      <xdr:nvSpPr>
        <xdr:cNvPr id="13" name="Shape 13">
          <a:hlinkClick r:id="rId1"/>
        </xdr:cNvPr>
        <xdr:cNvSpPr/>
      </xdr:nvSpPr>
      <xdr:spPr>
        <a:xfrm>
          <a:off x="4960238" y="3432338"/>
          <a:ext cx="771525" cy="695325"/>
        </a:xfrm>
        <a:prstGeom prst="leftArrow">
          <a:avLst>
            <a:gd fmla="val 50000" name="adj1"/>
            <a:gd fmla="val 50000" name="adj2"/>
          </a:avLst>
        </a:prstGeom>
        <a:solidFill>
          <a:schemeClr val="accent1"/>
        </a:solidFill>
        <a:ln cap="flat" cmpd="sng" w="12700">
          <a:solidFill>
            <a:srgbClr val="21364F"/>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200">
              <a:solidFill>
                <a:schemeClr val="lt1"/>
              </a:solidFill>
              <a:latin typeface="Calibri"/>
              <a:ea typeface="Calibri"/>
              <a:cs typeface="Calibri"/>
              <a:sym typeface="Calibri"/>
            </a:rPr>
            <a:t>INICIO</a:t>
          </a:r>
          <a:endParaRPr sz="1400"/>
        </a:p>
      </xdr:txBody>
    </xdr:sp>
    <xdr:clientData fLocksWithSheet="0"/>
  </xdr:oneCellAnchor>
</xdr:wsDr>
</file>

<file path=xl/persons/person.xml><?xml version="1.0" encoding="utf-8"?>
<x18tc:personList xmlns:x18tc="http://schemas.microsoft.com/office/spreadsheetml/2018/threadedcomments">
  <x18tc:person displayName="r.herrera" id="{2034877a-1bd4-4f8c-9e82-5ff355552287}" providerId="google-sheets"/>
  <x18tc:person displayName="Ivannia Alpizar" id="{b21ac20f-d058-494e-a5fc-c8c894028860}" providerId="google-sheets"/>
  <x18tc:person displayName="Jeffri Castro" id="{10e1f9c4-d859-4081-bc32-319cf3f3e7ee}" providerId="google-sheets"/>
  <x18tc:person displayName="Nayeli Quiros" id="{993acd87-772e-4d07-8978-44ad190053e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 dT="2023-05-22T21:09:09.00" personId="{b21ac20f-d058-494e-a5fc-c8c894028860}" id="{80bea308-f6cd-4cb7-983b-8945162a4fd1}" done="0">
    <x18tc:text xml:space="preserve">En proceso de actualización, por eso hay celdas sin datos</x18tc:text>
  </x18tc:threadedComment>
  <x18tc:threadedComment ref="A6" dT="2026-02-17T21:56:55.00" personId="{b21ac20f-d058-494e-a5fc-c8c894028860}" id="{96344b86-9793-4536-8621-a86720d2bd61}" done="0">
    <x18tc:text xml:space="preserve">En actualización de datos indican nombre de fantasía: Prysmian Centroamérica &amp; Caribe</x18tc:text>
  </x18tc:threadedComment>
  <x18tc:threadedComment ref="N21" dT="2021-11-25T20:04:41.00" personId="{2034877a-1bd4-4f8c-9e82-5ff355552287}" id="{dc3003b3-bf14-4193-afde-d0bd3f9db649}" done="0">
    <x18tc:text xml:space="preserve">se desinsribe en mailchimp el 15.10.2021,
G:\Unidades compartidas\Calidad\ECA- Comunic\Correos solicitud de cambios OEC</x18tc:text>
  </x18tc:threadedComment>
  <x18tc:threadedComment ref="N28" dT="2021-10-08T14:54:32.00" personId="{2034877a-1bd4-4f8c-9e82-5ff355552287}" id="{9b93205e-6012-45f7-afb7-b8ee97d1cd51}" done="0">
    <x18tc:text xml:space="preserve">19.05.2021 
se elimina el correo NCalderonS@ice.go.cr  por solicitud de Glenda</x18tc:text>
  </x18tc:threadedComment>
  <x18tc:threadedComment ref="L41" dT="2026-02-17T21:56:55.00" personId="{10e1f9c4-d859-4081-bc32-319cf3f3e7ee}" id="{e44e5640-f297-4f35-a1a4-b33e744a1100}" done="0">
    <x18tc:text xml:space="preserve">25/06/2025 Se reporta salida de representante Brenda Mndragón</x18tc:text>
  </x18tc:threadedComment>
  <x18tc:threadedComment ref="I133" dT="2024-01-10T21:27:15.00" personId="{993acd87-772e-4d07-8978-44ad190053e7}" id="{d31393aa-879f-44fe-8f2e-127866dd821e}" done="0">
    <x18tc:text xml:space="preserve">Se solicitó los documentos para la renovación de contrato.</x18tc:text>
  </x18tc:threadedComment>
  <x18tc:threadedComment ref="AI76" dT="2021-11-25T20:04:41.00" personId="{2034877a-1bd4-4f8c-9e82-5ff355552287}" id="{8e6f75b4-3e71-40f2-a415-c40e4bece7a9}" done="0">
    <x18tc:text xml:space="preserve">por indicaiones de María Herrera, remitir siempre los correos de facturación a estas dos drirecciones</x18tc:text>
  </x18tc:threadedComment>
  <x18tc:threadedComment ref="T6" dT="2026-02-17T21:56:55.00" personId="{b21ac20f-d058-494e-a5fc-c8c894028860}" id="{b2190ac2-dc61-45e5-beb0-0d74e001d942}" done="0">
    <x18tc:text xml:space="preserve">Se tenía esta cédula: 3-101-0011928-28 pero no coincide con los datos del OEC</x18tc:text>
  </x18tc:threadedComment>
  <x18tc:threadedComment ref="N53" dT="2021-10-08T14:54:32.00" personId="{2034877a-1bd4-4f8c-9e82-5ff355552287}" id="{36aad6d6-4225-42c8-b97b-b699c3c927f1}" done="0">
    <x18tc:text xml:space="preserve">se eliminan según referencia 07.julio.2021
samador@dospinos.com; acalderonm@dospinos.com
Se eliminan por solicitud en correo del 9/11/23: dmoya@dospinos.com; legal@dospinos.com</x18tc:text>
  </x18tc:threadedComment>
  <x18tc:threadedComment ref="I111" dT="2024-01-10T21:27:15.00" personId="{993acd87-772e-4d07-8978-44ad190053e7}" id="{3be1e914-f994-4d0b-beec-c66d2ec02a8c}" done="0">
    <x18tc:text xml:space="preserve">Se solicita los documentos para la renovación del coontrato.</x18tc:text>
  </x18tc:threadedComment>
  <x18tc:threadedComment ref="I50" dT="2024-01-10T21:27:15.00" personId="{b21ac20f-d058-494e-a5fc-c8c894028860}" id="{421458ef-0de2-4b1b-8352-9b92729357a7}" done="0">
    <x18tc:text xml:space="preserve">13/12/23 se le envía recordatorio al OEC para envío de documentos</x18tc:text>
  </x18tc:threadedComment>
  <x18tc:threadedComment ref="M39" dT="2026-02-17T21:56:55.00" personId="{10e1f9c4-d859-4081-bc32-319cf3f3e7ee}" id="{0e6f843f-6075-46b8-a8bf-42d85bc0d2a6}" done="0">
    <x18tc:text xml:space="preserve">Cambio representanteOEC</x18tc:text>
  </x18tc:threadedComment>
  <x18tc:threadedComment ref="L83" dT="2026-02-17T21:56:55.00" personId="{10e1f9c4-d859-4081-bc32-319cf3f3e7ee}" id="{d580df53-60a8-4480-a509-e4ad7747ba3b}" done="0">
    <x18tc:text xml:space="preserve">Cambio de representante OEC: 29-10-2024</x18tc:text>
  </x18tc:threadedComment>
  <x18tc:threadedComment ref="I115" dT="2024-01-10T21:27:15.00" personId="{993acd87-772e-4d07-8978-44ad190053e7}" id="{0da2d123-adf3-4c03-83a4-78e6c4523aa5}" done="0">
    <x18tc:text xml:space="preserve">Se solicitó la información para la renovación de contrato.</x18tc:text>
  </x18tc:threadedComment>
  <x18tc:threadedComment ref="I55" dT="2024-01-10T21:27:15.00" personId="{993acd87-772e-4d07-8978-44ad190053e7}" id="{5ff25c21-2ebd-46f8-b473-4b2d43391d19}" done="0">
    <x18tc:text xml:space="preserve">Se solicita la información correspondiente para la actualización del contrato</x18tc:text>
  </x18tc:threadedComment>
  <x18tc:threadedComment ref="I5" dT="2026-02-17T21:56:55.00" personId="{b21ac20f-d058-494e-a5fc-c8c894028860}" id="{17d2ede0-66a5-4339-9cac-b5afb274fb25}" done="0">
    <x18tc:text xml:space="preserve">Actualizar ya e OEC firmó</x18tc:text>
  </x18tc:threadedComment>
  <x18tc:threadedComment ref="M8" dT="2026-02-17T21:56:55.00" personId="{10e1f9c4-d859-4081-bc32-319cf3f3e7ee}" id="{136d76e4-01be-403c-88b6-1731afd632b6}" done="0">
    <x18tc:text xml:space="preserve">Reportaron este correo pero no sirve, se está a la espera de respuesta</x18tc:text>
  </x18tc:threadedComment>
  <x18tc:threadedComment ref="A80" dT="2021-10-08T14:54:32.00" personId="{2034877a-1bd4-4f8c-9e82-5ff355552287}" id="{0f124d84-d8d0-47bd-8624-ce4eb26306b4}" done="0">
    <x18tc:text xml:space="preserve">Aquí quede 24.08.2021</x18tc:text>
  </x18tc:threadedComment>
  <x18tc:threadedComment ref="L154" dT="2021-11-25T20:04:41.00" personId="{2034877a-1bd4-4f8c-9e82-5ff355552287}" id="{3beb5f92-833d-4aa9-8c5c-20dbffce59fa}" done="0">
    <x18tc:text xml:space="preserve">8360-3172</x18tc:text>
  </x18tc:threadedComment>
  <x18tc:threadedComment ref="H177" dT="2024-01-10T21:27:15.00" personId="{b21ac20f-d058-494e-a5fc-c8c894028860}" id="{bad2e97f-f99f-47cf-912f-dd5188d1cf82}" done="0">
    <x18tc:text xml:space="preserve">Este contrato es sólo para la visita preliminar</x18tc:text>
  </x18tc:threadedComment>
  <x18tc:threadedComment ref="V53" dT="2021-10-08T14:54:32.00" personId="{2034877a-1bd4-4f8c-9e82-5ff355552287}" id="{8a777001-3fe9-4b92-ab89-06bee3a0955f}" done="0">
    <x18tc:text xml:space="preserve">se elimina 
Gonzalo Chavez Alvarado</x18tc:text>
  </x18tc:threadedComment>
  <x18tc:threadedComment ref="L155" dT="2021-10-08T14:54:32.00" personId="{2034877a-1bd4-4f8c-9e82-5ff355552287}" id="{e7aa4909-4e6a-4ec5-ac1f-c65cd06f00f6}" done="0">
    <x18tc:text xml:space="preserve">18.05.2021 
se elimina a solicitud via correo a Emily Acuña Vargas (emily@tecnosolucionescr.net) y se integra a Nazareth Rojas Rodriguez. (calidad1@tecnosolucionescr.net)</x18tc:text>
  </x18tc:threadedComment>
  <x18tc:threadedComment ref="H100" dT="2023-10-17T20:04:09.00" personId="{b21ac20f-d058-494e-a5fc-c8c894028860}" id="{82d91cc2-254f-4a44-9e70-79117b4983cd}" done="0">
    <x18tc:text xml:space="preserve">fecha de firma digital OEC, en contrato se indica fecha 21/7/20</x18tc:text>
  </x18tc:threadedComment>
  <x18tc:threadedComment ref="I110" dT="2024-01-10T21:27:15.00" personId="{993acd87-772e-4d07-8978-44ad190053e7}" id="{b1f611d2-067e-4e2e-a549-f0686beb9ee5}" done="0">
    <x18tc:text xml:space="preserve">Se solicita la información para la renovacion del contrato.</x18tc:text>
  </x18tc:threadedComment>
  <x18tc:threadedComment ref="I121" dT="2024-01-10T21:27:15.00" personId="{993acd87-772e-4d07-8978-44ad190053e7}" id="{896a3323-70d4-4369-bd71-e92c48d1320d}" done="0">
    <x18tc:text xml:space="preserve">Se solicitó la informaicón para la renovación de contrato.</x18tc:text>
  </x18tc:threadedComment>
  <x18tc:threadedComment ref="H145" dT="2026-02-17T21:56:55.00" personId="{10e1f9c4-d859-4081-bc32-319cf3f3e7ee}" id="{4ac327e4-27e6-4d4b-b860-9d193367dbdd}" done="0">
    <x18tc:text xml:space="preserve">Se renovó el contrato</x18tc:text>
  </x18tc:threadedComment>
  <x18tc:threadedComment ref="I138" dT="2024-01-10T21:27:15.00" personId="{993acd87-772e-4d07-8978-44ad190053e7}" id="{34a37181-53f9-469b-b8ad-77dcf166cf8b}" done="0">
    <x18tc:text xml:space="preserve">Se solicita la información correspondiente.</x18tc:text>
  </x18tc:threadedComment>
  <x18tc:threadedComment ref="L33" dT="2026-02-17T21:56:55.00" personId="{10e1f9c4-d859-4081-bc32-319cf3f3e7ee}" id="{8c774140-31a4-4103-810b-4459deac09af}" done="0">
    <x18tc:text xml:space="preserve">Se actualiza el contacto, por petición del OEC 30-07-2024</x18tc:text>
  </x18tc:threadedComment>
  <x18tc:threadedComment ref="M89" dT="2023-10-17T20:04:09.00" personId="{b21ac20f-d058-494e-a5fc-c8c894028860}" id="{8e6c63a4-95b4-46fc-94cb-d4e3f3153da8}" done="0">
    <x18tc:text xml:space="preserve">16/6/23: SE desincribió de lista de difusión mailchimp</x18tc:text>
  </x18tc:threadedComment>
  <x18tc:threadedComment ref="N128" dT="2021-10-08T14:54:32.00" personId="{2034877a-1bd4-4f8c-9e82-5ff355552287}" id="{42e2d0e6-62a4-48b6-8e93-4d514e8963c6}" done="0">
    <x18tc:text xml:space="preserve">31/05/2021
se ingresa por solicitud de Jennifer via correo como correo alternativo</x18tc:text>
  </x18tc:threadedComment>
  <x18tc:threadedComment ref="I74" dT="2024-01-10T21:27:15.00" personId="{b21ac20f-d058-494e-a5fc-c8c894028860}" id="{5ff08626-6e38-4768-8ea8-d1db959ed817}" done="0">
    <x18tc:text xml:space="preserve">13/12/23 Se le da seguimiento al OEC</x18tc:text>
  </x18tc:threadedComment>
  <x18tc:threadedComment ref="V133" dT="2026-02-17T21:56:55.00" personId="{10e1f9c4-d859-4081-bc32-319cf3f3e7ee}" id="{fea723d5-bdbf-483f-a8be-5017215ad791}" done="0">
    <x18tc:text xml:space="preserve">Se elimina contacto por reporte de fallecimiento, a la espera de sustitución.</x18tc:text>
  </x18tc:threadedComment>
  <x18tc:threadedComment ref="L134" dT="2021-10-08T14:54:32.00" personId="{2034877a-1bd4-4f8c-9e82-5ff355552287}" id="{c0959877-ac8c-46d1-b4a1-8268713404ba}" done="0">
    <x18tc:text xml:space="preserve">se actualiza según solicitud  de Glenda via correo eliminar johnny@cercalcr.com  y cercalltda@gmail.com </x18tc:text>
  </x18tc:threadedComment>
  <x18tc:threadedComment ref="A2" dT="2026-02-17T21:56:55.00" personId="{b21ac20f-d058-494e-a5fc-c8c894028860}" id="{803581af-08e0-41f4-9adf-d7ae65579e85}" done="0">
    <x18tc:text xml:space="preserve">Nombre de fantasía 
Nombre del OEC para el certificado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 dT="2023-05-22T21:09:09.00" personId="{b21ac20f-d058-494e-a5fc-c8c894028860}" id="{fc132da7-b88e-4fe8-93bf-ddaee1299961}" done="0">
    <x18tc:text xml:space="preserve">En proceso de actualización, por eso hay celdas sin datos</x18tc:text>
  </x18tc:threadedComment>
  <x18tc:threadedComment ref="A2" dT="2026-02-17T21:56:55.00" personId="{b21ac20f-d058-494e-a5fc-c8c894028860}" id="{db8391fe-e325-4276-bb25-225ad0c5ad20}" done="0">
    <x18tc:text xml:space="preserve">Nombre de fantasía 
Nombre del OEC para el certificado</x18tc:text>
  </x18tc:threadedComment>
  <x18tc:threadedComment ref="M42" dT="2026-02-17T21:56:55.00" personId="{10e1f9c4-d859-4081-bc32-319cf3f3e7ee}" id="{6ae68650-d10b-43ba-bc86-cffc5ced463b}" done="0">
    <x18tc:text xml:space="preserve">Cambio representanteOEC</x18tc:text>
  </x18tc:threadedComment>
  <x18tc:threadedComment ref="R16" dT="2021-10-08T14:54:32.00" personId="{2034877a-1bd4-4f8c-9e82-5ff355552287}" id="{6912257d-7976-4882-97dc-a4943942d995}" done="0">
    <x18tc:text xml:space="preserve">se cambia direccion a solicitud via correo por Yanina: San José, del Rest. La Princesa Marina 100 metros Sur 100 metros Oeste y 100 metros Sur casa #55, Moravia</x18tc:text>
  </x18tc:threadedComment>
  <x18tc:threadedComment ref="D61" dT="2023-10-17T20:04:09.00" personId="{b21ac20f-d058-494e-a5fc-c8c894028860}" id="{b050c0bb-96e2-4031-a300-28be469fc514}" done="0">
    <x18tc:text xml:space="preserve">Este no se acreditó, se acreditó el de expediente OI-055</x18tc:text>
  </x18tc:threadedComment>
  <x18tc:threadedComment ref="L57" dT="2026-02-17T21:56:55.00" personId="{10e1f9c4-d859-4081-bc32-319cf3f3e7ee}" id="{283e4705-9e32-4291-9215-b34b9cb5949e}" done="0">
    <x18tc:text xml:space="preserve">25/06/2025 Se reporta salida de representante Brenda Mndragón</x18tc:text>
  </x18tc:threadedComment>
  <x18tc:threadedComment ref="I9" dT="2024-01-10T21:27:15.00" personId="{b21ac20f-d058-494e-a5fc-c8c894028860}" id="{ad6d8eb7-91a0-4674-96a0-507e431ec7c7}" done="0">
    <x18tc:text xml:space="preserve">13/12/23 se le recuerda al OEC actualiar datos para firma de contrato
02/04/2024 se remite información a Daniela</x18tc:text>
  </x18tc:threadedComment>
  <x18tc:threadedComment ref="A6" dT="2023-05-22T21:09:09.00" personId="{b21ac20f-d058-494e-a5fc-c8c894028860}" id="{2a0d8fd4-2002-4612-9600-892cf3f26c4b}" done="0">
    <x18tc:text xml:space="preserve">OTI Costa Rica) ha sido adquirido por AmSpec Group</x18tc:text>
  </x18tc:threadedComment>
  <x18tc:threadedComment ref="I54" dT="2024-01-10T21:27:15.00" personId="{b21ac20f-d058-494e-a5fc-c8c894028860}" id="{70a6ef21-a784-44b1-9a83-8d6a1f5fb9fe}" done="0">
    <x18tc:text xml:space="preserve">En renovación 12/12/23</x18tc:text>
  </x18tc:threadedComment>
  <x18tc:threadedComment ref="H6" dT="2023-10-17T20:04:09.00" personId="{b21ac20f-d058-494e-a5fc-c8c894028860}" id="{0122486b-2b76-42e7-837e-ef7703832a4f}" done="0">
    <x18tc:text xml:space="preserve">Adenda al contrato por compra de AMSPEC</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2" dT="2023-05-22T21:09:09.00" personId="{b21ac20f-d058-494e-a5fc-c8c894028860}" id="{8d2a8bd4-a34a-4d9f-a49f-1c5aaacf8d0e}" done="0">
    <x18tc:text xml:space="preserve">En proceso de actualización, por eso hay celdas sin datos</x18tc:text>
  </x18tc:threadedComment>
  <x18tc:threadedComment ref="A2" dT="2026-02-17T21:56:55.00" personId="{b21ac20f-d058-494e-a5fc-c8c894028860}" id="{8af6cc27-1406-49fc-baa1-aa87484d0140}" done="0">
    <x18tc:text xml:space="preserve">Nombre de fantasía 
Nombre del OEC para el certificado</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2-17T21:56:55.00" personId="{b21ac20f-d058-494e-a5fc-c8c894028860}" id="{56ab0f41-67da-4a85-807e-c6d338381121}" done="0">
    <x18tc:text xml:space="preserve">Nombre de fantasía 
Nombre del OEC para el certificado</x18tc:text>
  </x18tc:threadedComment>
  <x18tc:threadedComment ref="H9" dT="2023-10-17T20:04:09.00" personId="{b21ac20f-d058-494e-a5fc-c8c894028860}" id="{5bb0b2fb-255b-4772-84b3-8e3fac2916e7}" done="0">
    <x18tc:text xml:space="preserve">Indican que no tiene el sistema de gestión implementado, por lo que no presentarán la solicitud aún</x18tc:text>
  </x18tc:threadedComment>
  <x18tc:threadedComment ref="O5" dT="2021-11-25T20:04:41.00" personId="{2034877a-1bd4-4f8c-9e82-5ff355552287}" id="{40a0a258-34eb-4228-bddf-0451ab6c31e0}" done="0">
    <x18tc:text xml:space="preserve">corroborar número télefonico porque no contestan</x18tc:text>
  </x18tc:threadedComment>
  <x18tc:threadedComment ref="R5" dT="2026-02-17T21:56:55.00" personId="{10e1f9c4-d859-4081-bc32-319cf3f3e7ee}" id="{7804031f-47a5-48dd-83d1-5137c7aceca1}" done="0">
    <x18tc:text xml:space="preserve">Reportaron cambio de sede el 4/6/2025. Pendiente actualizar en la página</x18tc:text>
  </x18tc:threadedComment>
  <x18tc:threadedComment ref="H13" dT="2026-02-17T21:56:55.00" personId="{b21ac20f-d058-494e-a5fc-c8c894028860}" id="{8d36a918-2cc7-48cc-96a9-d5b112032a49}" done="0">
    <x18tc:text xml:space="preserve">Se les envió para firma el 11/4/24, no se oobtuvo respuesta, se le envió recordatorio el 26 de abril</x18tc:text>
  </x18tc:threadedComment>
  <x18tc:threadedComment ref="I5" dT="2026-02-17T21:56:55.00" personId="{993acd87-772e-4d07-8978-44ad190053e7}" id="{86ed291e-5c93-4a98-853a-e437748be852}" done="0">
    <x18tc:text xml:space="preserve">Se solicita la información para la renovación del contrato.</x18tc:text>
  </x18tc:threadedComment>
  <x18tc:threadedComment ref="I7" dT="2024-01-10T21:27:15.00" personId="{993acd87-772e-4d07-8978-44ad190053e7}" id="{d7dd72c9-bfc6-4e11-9243-2d703b4fb4c9}" done="0">
    <x18tc:text xml:space="preserve">Se solicitó la información correspondiente para la renovación</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2-17T21:56:55.00" personId="{b21ac20f-d058-494e-a5fc-c8c894028860}" id="{bf1a8847-44b2-4404-8405-ef25cad51b69}" done="0">
    <x18tc:text xml:space="preserve">Nombre de fantasía 
Nombre del OEC para el certificado</x18tc:text>
  </x18tc:threadedComment>
  <x18tc:threadedComment ref="I6" dT="2024-01-10T21:27:15.00" personId="{993acd87-772e-4d07-8978-44ad190053e7}" id="{4d9923d6-0586-437d-bacf-ede81d2c0846}" done="0">
    <x18tc:text xml:space="preserve">Se solicitó la información correspondiente al OEC para la renovación del contrato</x18tc:text>
  </x18tc:threadedComment>
  <x18tc:threadedComment ref="I5" dT="2024-01-10T21:27:15.00" personId="{993acd87-772e-4d07-8978-44ad190053e7}" id="{5271902a-d94e-4fe5-93e6-f93985f6bb25}" done="0">
    <x18tc:text xml:space="preserve">Se solicitó la información para la renovación.</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M14" dT="2026-02-17T21:56:55.00" personId="{b21ac20f-d058-494e-a5fc-c8c894028860}" id="{1b731dda-82d7-4535-96ce-db36af074330}" done="0">
    <x18tc:text xml:space="preserve">21/3/24: el OEC solicita vía correo modificar el cortreo de contacto, se elimina  m.arias@pva-approvals.com</x18tc:text>
  </x18tc:threadedComment>
  <x18tc:threadedComment ref="H17" dT="2023-10-17T20:04:09.00" personId="{b21ac20f-d058-494e-a5fc-c8c894028860}" id="{9bea614d-a0e6-4f00-8cf1-08c870441257}" done="0">
    <x18tc:text xml:space="preserve">Fecha indicada por el OEC en firma del representante</x18tc:text>
  </x18tc:threadedComment>
  <x18tc:threadedComment ref="J18" dT="2023-10-17T20:04:09.00" personId="{b21ac20f-d058-494e-a5fc-c8c894028860}" id="{38aa2f2e-001b-4a4a-8760-4e3b28af3456}" done="0">
    <x18tc:text xml:space="preserve">Otorgamiento ampliación Sede China</x18tc:text>
  </x18tc:threadedComment>
  <x18tc:threadedComment ref="F21" dT="2026-02-17T21:56:55.00" personId="{10e1f9c4-d859-4081-bc32-319cf3f3e7ee}" id="{e38fa863-2050-4d58-b4e7-3947e44a088f}" done="0">
    <x18tc:text xml:space="preserve">Se asigna OCP-021 para comenzar número de expediente igual al de acreditación</x18tc:text>
  </x18tc:threadedComment>
  <x18tc:threadedComment ref="G19" dT="2023-10-17T20:04:09.00" personId="{b21ac20f-d058-494e-a5fc-c8c894028860}" id="{27b44557-b03b-4f77-902e-49008d88f8f8}" done="0">
    <x18tc:text xml:space="preserve">Toca el OCP-018</x18tc:text>
  </x18tc:threadedComment>
  <x18tc:threadedComment ref="A2" dT="2026-02-17T21:56:55.00" personId="{b21ac20f-d058-494e-a5fc-c8c894028860}" id="{8c4979c3-f37f-4ba9-8890-7db5a1ddf6bc}" done="0">
    <x18tc:text xml:space="preserve">Nombre de fantasía 
Nombre del OEC para el certificado</x18tc:text>
  </x18tc:threadedComment>
  <x18tc:threadedComment ref="N19" dT="2026-02-17T21:56:55.00" personId="{10e1f9c4-d859-4081-bc32-319cf3f3e7ee}" id="{72aa917e-fd9a-45a4-bf7d-670e3f31ffcf}" done="0">
    <x18tc:text xml:space="preserve">Dirección de correo inválida</x18tc:text>
  </x18tc:threadedComment>
  <x18tc:threadedComment ref="H18" dT="2024-01-10T21:27:15.00" personId="{993acd87-772e-4d07-8978-44ad190053e7}" id="{1dc10f93-2b5c-45f7-9932-3d50b2ce4a2b}" done="0">
    <x18tc:text xml:space="preserve">Se llevó para firma de gerencia.</x18tc:text>
  </x18tc:threadedComment>
  <x18tc:threadedComment ref="B18" dT="2023-10-17T20:04:09.00" personId="{b21ac20f-d058-494e-a5fc-c8c894028860}" id="{8abe3d9c-325b-4a54-86c8-3f801fd7340b}" done="0">
    <x18tc:text xml:space="preserve">Sede en China</x18tc:text>
  </x18tc:threadedComment>
  <x18tc:threadedComment ref="M10" dT="2026-02-17T21:56:55.00" personId="{b21ac20f-d058-494e-a5fc-c8c894028860}" id="{fd19290f-4da2-48d8-a9c7-779ccc5a01ee}" done="0">
    <x18tc:text xml:space="preserve">el correo prinicpal para ambos OEC de ANCE es fflores@ance.org.mx</x18tc:tex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2-17T21:56:55.00" personId="{b21ac20f-d058-494e-a5fc-c8c894028860}" id="{5a0798f2-a467-49a5-bd49-ae2c3c942e2a}" done="0">
    <x18tc:text xml:space="preserve">Nombre de fantasía 
Nombre del OEC para el certificado</x18tc:text>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 dT="2026-02-17T21:56:55.00" personId="{b21ac20f-d058-494e-a5fc-c8c894028860}" id="{650c1da5-f663-4987-95ae-1716ff9c5d06}" done="0">
    <x18tc:text xml:space="preserve">Nombre de fantasía 
Nombre del OEC para el certificado</x18tc:text>
  </x18tc:threadedComment>
  <x18tc:threadedComment ref="L6" dT="2026-02-17T21:56:55.00" personId="{b21ac20f-d058-494e-a5fc-c8c894028860}" id="{b6fcb97e-5826-41fa-a126-5da36921897c}" done="0">
    <x18tc:text xml:space="preserve">12/8/25: se solicita incorporar ppizarro@lsqa.com pero no ha llegado solicitud oficial de representante</x18tc:text>
  </x18tc:threadedComment>
  <x18tc:threadedComment ref="L9" dT="2026-02-17T21:56:55.00" personId="{10e1f9c4-d859-4081-bc32-319cf3f3e7ee}" id="{a3e56301-bab9-4411-b888-b8432be0fe7e}" done="0">
    <x18tc:text xml:space="preserve">El 20/01/2025 se solicita eliminar el contacto, quedando pendiente de sustituir.</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mailto:dquesada@ice.go.cr" TargetMode="External"/><Relationship Id="rId42" Type="http://schemas.openxmlformats.org/officeDocument/2006/relationships/hyperlink" Target="mailto:andrei.ulate@holcim.com;recepcionfe-cr@lafargeholcim.com" TargetMode="External"/><Relationship Id="rId41" Type="http://schemas.openxmlformats.org/officeDocument/2006/relationships/hyperlink" Target="mailto:gsoto@laboratoriobiotec.com" TargetMode="External"/><Relationship Id="rId44" Type="http://schemas.openxmlformats.org/officeDocument/2006/relationships/hyperlink" Target="mailto:jogranados@ice.go.cr" TargetMode="External"/><Relationship Id="rId43" Type="http://schemas.openxmlformats.org/officeDocument/2006/relationships/hyperlink" Target="https://www.grupoice.com/wps/portal/ICE/electricidad/laboratorioss/laboratorios-metrologicosyquimicos/lab-quimicos" TargetMode="External"/><Relationship Id="rId46" Type="http://schemas.openxmlformats.org/officeDocument/2006/relationships/hyperlink" Target="mailto:francesco.rossi@holcim.com;recepcionfe-cr@lafargeholcim.com" TargetMode="External"/><Relationship Id="rId45" Type="http://schemas.openxmlformats.org/officeDocument/2006/relationships/hyperlink" Target="mailto:shidalgo@ice.go.cr" TargetMode="External"/><Relationship Id="rId107" Type="http://schemas.openxmlformats.org/officeDocument/2006/relationships/hyperlink" Target="mailto:ncedeno@palmatica.com" TargetMode="External"/><Relationship Id="rId106" Type="http://schemas.openxmlformats.org/officeDocument/2006/relationships/hyperlink" Target="mailto:info@terratec-cr.com" TargetMode="External"/><Relationship Id="rId105" Type="http://schemas.openxmlformats.org/officeDocument/2006/relationships/hyperlink" Target="http://www.terratec-cr.com/" TargetMode="External"/><Relationship Id="rId104" Type="http://schemas.openxmlformats.org/officeDocument/2006/relationships/hyperlink" Target="mailto:esalazar@esph-sa.com" TargetMode="External"/><Relationship Id="rId109" Type="http://schemas.openxmlformats.org/officeDocument/2006/relationships/hyperlink" Target="https://lsfpt.palmatica.com/" TargetMode="External"/><Relationship Id="rId108" Type="http://schemas.openxmlformats.org/officeDocument/2006/relationships/hyperlink" Target="mailto:gmejias@palmatica.com" TargetMode="External"/><Relationship Id="rId48" Type="http://schemas.openxmlformats.org/officeDocument/2006/relationships/hyperlink" Target="mailto:jjavier@granjasmarinas.com" TargetMode="External"/><Relationship Id="rId47" Type="http://schemas.openxmlformats.org/officeDocument/2006/relationships/hyperlink" Target="mailto:facturaselectronicas@limpsacr.com" TargetMode="External"/><Relationship Id="rId49" Type="http://schemas.openxmlformats.org/officeDocument/2006/relationships/hyperlink" Target="mailto:yhernandez@granjasmarinas.com" TargetMode="External"/><Relationship Id="rId103" Type="http://schemas.openxmlformats.org/officeDocument/2006/relationships/hyperlink" Target="http://www.esph-sa.com/" TargetMode="External"/><Relationship Id="rId102" Type="http://schemas.openxmlformats.org/officeDocument/2006/relationships/hyperlink" Target="mailto:facturacrromanas@gmail.com" TargetMode="External"/><Relationship Id="rId101" Type="http://schemas.openxmlformats.org/officeDocument/2006/relationships/hyperlink" Target="http://www.romanascr.com/" TargetMode="External"/><Relationship Id="rId100" Type="http://schemas.openxmlformats.org/officeDocument/2006/relationships/hyperlink" Target="mailto:aperez@datsaines.com" TargetMode="External"/><Relationship Id="rId31" Type="http://schemas.openxmlformats.org/officeDocument/2006/relationships/hyperlink" Target="mailto:ingvalverde@ingeotec-cr.com" TargetMode="External"/><Relationship Id="rId30" Type="http://schemas.openxmlformats.org/officeDocument/2006/relationships/hyperlink" Target="http://www.camericacr.com/" TargetMode="External"/><Relationship Id="rId33" Type="http://schemas.openxmlformats.org/officeDocument/2006/relationships/hyperlink" Target="mailto:aalvarez@iibi.gob.do" TargetMode="External"/><Relationship Id="rId32" Type="http://schemas.openxmlformats.org/officeDocument/2006/relationships/hyperlink" Target="mailto:evillegas@iibi.gob.do" TargetMode="External"/><Relationship Id="rId35" Type="http://schemas.openxmlformats.org/officeDocument/2006/relationships/hyperlink" Target="mailto:jocampo@insuma.co.cr" TargetMode="External"/><Relationship Id="rId34" Type="http://schemas.openxmlformats.org/officeDocument/2006/relationships/hyperlink" Target="mailto:kvargas@iibi.gob.do" TargetMode="External"/><Relationship Id="rId37" Type="http://schemas.openxmlformats.org/officeDocument/2006/relationships/hyperlink" Target="mailto:calidad@coopesalud.org" TargetMode="External"/><Relationship Id="rId36" Type="http://schemas.openxmlformats.org/officeDocument/2006/relationships/hyperlink" Target="mailto:jrodriguez@insuma.co.cr" TargetMode="External"/><Relationship Id="rId39" Type="http://schemas.openxmlformats.org/officeDocument/2006/relationships/hyperlink" Target="https://grupoice.com/wps/portal/ICE/telecomunicaciones/lametro" TargetMode="External"/><Relationship Id="rId38" Type="http://schemas.openxmlformats.org/officeDocument/2006/relationships/hyperlink" Target="https://www.bridgestone.co.cr/" TargetMode="External"/><Relationship Id="rId20" Type="http://schemas.openxmlformats.org/officeDocument/2006/relationships/hyperlink" Target="mailto:msanchez@laica.co.cr" TargetMode="External"/><Relationship Id="rId22" Type="http://schemas.openxmlformats.org/officeDocument/2006/relationships/hyperlink" Target="mailto:marcy.gonzalez@ucr.ac.cr" TargetMode="External"/><Relationship Id="rId21" Type="http://schemas.openxmlformats.org/officeDocument/2006/relationships/hyperlink" Target="https://www.bridgestone.co.cr/" TargetMode="External"/><Relationship Id="rId24" Type="http://schemas.openxmlformats.org/officeDocument/2006/relationships/hyperlink" Target="mailto:lgcingenieriadepavimentos@gmail.com" TargetMode="External"/><Relationship Id="rId23" Type="http://schemas.openxmlformats.org/officeDocument/2006/relationships/hyperlink" Target="mailto:facturacion@ojmconsultores.com" TargetMode="External"/><Relationship Id="rId129" Type="http://schemas.openxmlformats.org/officeDocument/2006/relationships/hyperlink" Target="mailto:jchaves@romanaslumagre.com" TargetMode="External"/><Relationship Id="rId128" Type="http://schemas.openxmlformats.org/officeDocument/2006/relationships/hyperlink" Target="http://www.romanaslumagre.com/" TargetMode="External"/><Relationship Id="rId127" Type="http://schemas.openxmlformats.org/officeDocument/2006/relationships/hyperlink" Target="mailto:egoni@juturna.com" TargetMode="External"/><Relationship Id="rId126" Type="http://schemas.openxmlformats.org/officeDocument/2006/relationships/hyperlink" Target="https://juturna.cr/" TargetMode="External"/><Relationship Id="rId26" Type="http://schemas.openxmlformats.org/officeDocument/2006/relationships/hyperlink" Target="mailto:layafa.inifar@ucr.ac.cr" TargetMode="External"/><Relationship Id="rId121" Type="http://schemas.openxmlformats.org/officeDocument/2006/relationships/hyperlink" Target="http://www.bacolab.com/" TargetMode="External"/><Relationship Id="rId25" Type="http://schemas.openxmlformats.org/officeDocument/2006/relationships/hyperlink" Target="mailto:asistentecalidadimnsa@gmail.com" TargetMode="External"/><Relationship Id="rId120" Type="http://schemas.openxmlformats.org/officeDocument/2006/relationships/hyperlink" Target="mailto:gelopez@disagro.com" TargetMode="External"/><Relationship Id="rId28" Type="http://schemas.openxmlformats.org/officeDocument/2006/relationships/hyperlink" Target="about:blank" TargetMode="External"/><Relationship Id="rId27" Type="http://schemas.openxmlformats.org/officeDocument/2006/relationships/hyperlink" Target="mailto:ervargas@dospinos.com" TargetMode="External"/><Relationship Id="rId125" Type="http://schemas.openxmlformats.org/officeDocument/2006/relationships/hyperlink" Target="mailto:Enrique.Gutierrez@mabe.com.mx" TargetMode="External"/><Relationship Id="rId29" Type="http://schemas.openxmlformats.org/officeDocument/2006/relationships/hyperlink" Target="mailto:administrativofinanciero@dmimetrologia.com" TargetMode="External"/><Relationship Id="rId124" Type="http://schemas.openxmlformats.org/officeDocument/2006/relationships/hyperlink" Target="mailto:claudia.gonzalez@mabe.com.mx" TargetMode="External"/><Relationship Id="rId123" Type="http://schemas.openxmlformats.org/officeDocument/2006/relationships/hyperlink" Target="mailto:info@bacolab.com" TargetMode="External"/><Relationship Id="rId122" Type="http://schemas.openxmlformats.org/officeDocument/2006/relationships/hyperlink" Target="mailto:info@bacolab.com" TargetMode="External"/><Relationship Id="rId95" Type="http://schemas.openxmlformats.org/officeDocument/2006/relationships/hyperlink" Target="mailto:contabilidad@tecnosolucionescr.net&#160;" TargetMode="External"/><Relationship Id="rId94" Type="http://schemas.openxmlformats.org/officeDocument/2006/relationships/hyperlink" Target="mailto:pleiva@tecnosolucionescr.net" TargetMode="External"/><Relationship Id="rId97" Type="http://schemas.openxmlformats.org/officeDocument/2006/relationships/hyperlink" Target="mailto:jblancog@cementosfortaleza.com" TargetMode="External"/><Relationship Id="rId96" Type="http://schemas.openxmlformats.org/officeDocument/2006/relationships/hyperlink" Target="mailto:facturas@dgeosoluciones.com" TargetMode="External"/><Relationship Id="rId11" Type="http://schemas.openxmlformats.org/officeDocument/2006/relationships/hyperlink" Target="https://cica.ucr.ac.cr/" TargetMode="External"/><Relationship Id="rId99" Type="http://schemas.openxmlformats.org/officeDocument/2006/relationships/hyperlink" Target="http://www.datsaines.com/" TargetMode="External"/><Relationship Id="rId10" Type="http://schemas.openxmlformats.org/officeDocument/2006/relationships/hyperlink" Target="mailto:luisfernando.roman@prysmian.com" TargetMode="External"/><Relationship Id="rId98" Type="http://schemas.openxmlformats.org/officeDocument/2006/relationships/hyperlink" Target="mailto:metrologiabiomedica1@gmail.com" TargetMode="External"/><Relationship Id="rId13" Type="http://schemas.openxmlformats.org/officeDocument/2006/relationships/hyperlink" Target="mailto:fechandi@labechandi.com" TargetMode="External"/><Relationship Id="rId12" Type="http://schemas.openxmlformats.org/officeDocument/2006/relationships/hyperlink" Target="mailto:factura@recope.go.cr" TargetMode="External"/><Relationship Id="rId91" Type="http://schemas.openxmlformats.org/officeDocument/2006/relationships/hyperlink" Target="mailto:sleon@clinicabiblica.com" TargetMode="External"/><Relationship Id="rId90" Type="http://schemas.openxmlformats.org/officeDocument/2006/relationships/hyperlink" Target="http://www.clinicabiblica.com/" TargetMode="External"/><Relationship Id="rId93" Type="http://schemas.openxmlformats.org/officeDocument/2006/relationships/hyperlink" Target="mailto:simcmercadeo@gmail.com" TargetMode="External"/><Relationship Id="rId92" Type="http://schemas.openxmlformats.org/officeDocument/2006/relationships/hyperlink" Target="http://www.simccr.com/" TargetMode="External"/><Relationship Id="rId118" Type="http://schemas.openxmlformats.org/officeDocument/2006/relationships/hyperlink" Target="mailto:facturas.tscr@gmail.com" TargetMode="External"/><Relationship Id="rId117" Type="http://schemas.openxmlformats.org/officeDocument/2006/relationships/hyperlink" Target="https://tecnosolumcostarica.com/" TargetMode="External"/><Relationship Id="rId116" Type="http://schemas.openxmlformats.org/officeDocument/2006/relationships/hyperlink" Target="mailto:recepcion@tecnosolum.co.cr" TargetMode="External"/><Relationship Id="rId115" Type="http://schemas.openxmlformats.org/officeDocument/2006/relationships/hyperlink" Target="mailto:yagdani.calvo@dole.com" TargetMode="External"/><Relationship Id="rId119" Type="http://schemas.openxmlformats.org/officeDocument/2006/relationships/hyperlink" Target="mailto:jpiedrahita@disagro.com" TargetMode="External"/><Relationship Id="rId15" Type="http://schemas.openxmlformats.org/officeDocument/2006/relationships/hyperlink" Target="mailto:calidad@vieto.com" TargetMode="External"/><Relationship Id="rId110" Type="http://schemas.openxmlformats.org/officeDocument/2006/relationships/hyperlink" Target="mailto:fbrenes@numar.net" TargetMode="External"/><Relationship Id="rId14" Type="http://schemas.openxmlformats.org/officeDocument/2006/relationships/hyperlink" Target="http://www.lanamme.ucr.ac.cr/" TargetMode="External"/><Relationship Id="rId17" Type="http://schemas.openxmlformats.org/officeDocument/2006/relationships/hyperlink" Target="https://www.grupoice.com/wps/portal/ICE/electricidad/laboratorioss/lab" TargetMode="External"/><Relationship Id="rId16" Type="http://schemas.openxmlformats.org/officeDocument/2006/relationships/hyperlink" Target="mailto:psalas@cacisa.cr" TargetMode="External"/><Relationship Id="rId19" Type="http://schemas.openxmlformats.org/officeDocument/2006/relationships/hyperlink" Target="mailto:shidalgo@ice.go.cr" TargetMode="External"/><Relationship Id="rId114" Type="http://schemas.openxmlformats.org/officeDocument/2006/relationships/hyperlink" Target="mailto:melvin.cruz@dole.com" TargetMode="External"/><Relationship Id="rId18" Type="http://schemas.openxmlformats.org/officeDocument/2006/relationships/hyperlink" Target="mailto:jogranados@ice.go.cr" TargetMode="External"/><Relationship Id="rId113" Type="http://schemas.openxmlformats.org/officeDocument/2006/relationships/hyperlink" Target="https://labservicescr.com/" TargetMode="External"/><Relationship Id="rId112" Type="http://schemas.openxmlformats.org/officeDocument/2006/relationships/hyperlink" Target="https://www.cenat.ac.cr/es/" TargetMode="External"/><Relationship Id="rId111" Type="http://schemas.openxmlformats.org/officeDocument/2006/relationships/hyperlink" Target="http://www.gruponumar.com/" TargetMode="External"/><Relationship Id="rId84" Type="http://schemas.openxmlformats.org/officeDocument/2006/relationships/hyperlink" Target="mailto:info@bioanalitica.net" TargetMode="External"/><Relationship Id="rId83" Type="http://schemas.openxmlformats.org/officeDocument/2006/relationships/hyperlink" Target="http://www.labcostarica.com/" TargetMode="External"/><Relationship Id="rId86" Type="http://schemas.openxmlformats.org/officeDocument/2006/relationships/hyperlink" Target="mailto:jnm@inolasa.com" TargetMode="External"/><Relationship Id="rId85" Type="http://schemas.openxmlformats.org/officeDocument/2006/relationships/hyperlink" Target="mailto:cantigua@agrobiotek.com" TargetMode="External"/><Relationship Id="rId88" Type="http://schemas.openxmlformats.org/officeDocument/2006/relationships/hyperlink" Target="http://www.romanaspanama.com/" TargetMode="External"/><Relationship Id="rId150" Type="http://schemas.openxmlformats.org/officeDocument/2006/relationships/drawing" Target="../drawings/drawing2.xml"/><Relationship Id="rId87" Type="http://schemas.openxmlformats.org/officeDocument/2006/relationships/hyperlink" Target="mailto:mcalderon@ingenieriagamboa.com" TargetMode="External"/><Relationship Id="rId89" Type="http://schemas.openxmlformats.org/officeDocument/2006/relationships/hyperlink" Target="mailto:contabilidad@romanaspanama.com" TargetMode="External"/><Relationship Id="rId80" Type="http://schemas.openxmlformats.org/officeDocument/2006/relationships/hyperlink" Target="http://www.conarroz.com/" TargetMode="External"/><Relationship Id="rId82" Type="http://schemas.openxmlformats.org/officeDocument/2006/relationships/hyperlink" Target="mailto:calidad@bioanalitica.net" TargetMode="External"/><Relationship Id="rId81" Type="http://schemas.openxmlformats.org/officeDocument/2006/relationships/hyperlink" Target="http://www.romanaslacost.com/"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mailto:recepcion@geointegracr.com" TargetMode="External"/><Relationship Id="rId4" Type="http://schemas.openxmlformats.org/officeDocument/2006/relationships/hyperlink" Target="mailto:andres.villalobos@agqlabs.com" TargetMode="External"/><Relationship Id="rId148" Type="http://schemas.openxmlformats.org/officeDocument/2006/relationships/hyperlink" Target="mailto:calidad@geointegracr.com" TargetMode="External"/><Relationship Id="rId9" Type="http://schemas.openxmlformats.org/officeDocument/2006/relationships/hyperlink" Target="mailto:adriana.delgado@prysmian.com" TargetMode="External"/><Relationship Id="rId143" Type="http://schemas.openxmlformats.org/officeDocument/2006/relationships/hyperlink" Target="mailto:eblanco@numar.net" TargetMode="External"/><Relationship Id="rId142" Type="http://schemas.openxmlformats.org/officeDocument/2006/relationships/hyperlink" Target="https://gruponumar.com/" TargetMode="External"/><Relationship Id="rId141" Type="http://schemas.openxmlformats.org/officeDocument/2006/relationships/hyperlink" Target="https://www.inisefor.una.ac.cr/" TargetMode="External"/><Relationship Id="rId140" Type="http://schemas.openxmlformats.org/officeDocument/2006/relationships/hyperlink" Target="https://www.iret.una.ac.cr/index.php/es/" TargetMode="External"/><Relationship Id="rId5" Type="http://schemas.openxmlformats.org/officeDocument/2006/relationships/hyperlink" Target="mailto:facturae-cr@agqlabs.com" TargetMode="External"/><Relationship Id="rId147" Type="http://schemas.openxmlformats.org/officeDocument/2006/relationships/hyperlink" Target="mailto:calidad@geointegracr.com" TargetMode="External"/><Relationship Id="rId6" Type="http://schemas.openxmlformats.org/officeDocument/2006/relationships/hyperlink" Target="mailto:emojica.aqylasa@hotmail.com" TargetMode="External"/><Relationship Id="rId146" Type="http://schemas.openxmlformats.org/officeDocument/2006/relationships/hyperlink" Target="mailto:luispowell@multiromanas.com" TargetMode="External"/><Relationship Id="rId7" Type="http://schemas.openxmlformats.org/officeDocument/2006/relationships/hyperlink" Target="mailto:fmasis@itcr.ac.cr" TargetMode="External"/><Relationship Id="rId145" Type="http://schemas.openxmlformats.org/officeDocument/2006/relationships/hyperlink" Target="mailto:metrologia@multiromanas.com" TargetMode="External"/><Relationship Id="rId8" Type="http://schemas.openxmlformats.org/officeDocument/2006/relationships/hyperlink" Target="https://central-america.prysmian.com/es" TargetMode="External"/><Relationship Id="rId144" Type="http://schemas.openxmlformats.org/officeDocument/2006/relationships/hyperlink" Target="about:blank" TargetMode="External"/><Relationship Id="rId73" Type="http://schemas.openxmlformats.org/officeDocument/2006/relationships/hyperlink" Target="mailto:hrodriguez@esph-sa.com" TargetMode="External"/><Relationship Id="rId72" Type="http://schemas.openxmlformats.org/officeDocument/2006/relationships/hyperlink" Target="mailto:ohernandez@chaso.com" TargetMode="External"/><Relationship Id="rId75" Type="http://schemas.openxmlformats.org/officeDocument/2006/relationships/hyperlink" Target="http://www.cercal.co.cr/" TargetMode="External"/><Relationship Id="rId74" Type="http://schemas.openxmlformats.org/officeDocument/2006/relationships/hyperlink" Target="http://www.esph-sa.com/" TargetMode="External"/><Relationship Id="rId77" Type="http://schemas.openxmlformats.org/officeDocument/2006/relationships/hyperlink" Target="mailto:solara@solaracr.com" TargetMode="External"/><Relationship Id="rId76" Type="http://schemas.openxmlformats.org/officeDocument/2006/relationships/hyperlink" Target="http://www.solaracr.com/" TargetMode="External"/><Relationship Id="rId79" Type="http://schemas.openxmlformats.org/officeDocument/2006/relationships/hyperlink" Target="mailto:rogeru@conarroz.co" TargetMode="External"/><Relationship Id="rId78" Type="http://schemas.openxmlformats.org/officeDocument/2006/relationships/hyperlink" Target="http://www.iigconsultores.com/" TargetMode="External"/><Relationship Id="rId71" Type="http://schemas.openxmlformats.org/officeDocument/2006/relationships/hyperlink" Target="http://www.chaso.com/" TargetMode="External"/><Relationship Id="rId70" Type="http://schemas.openxmlformats.org/officeDocument/2006/relationships/hyperlink" Target="mailto:afonseca@chaso.com" TargetMode="External"/><Relationship Id="rId139" Type="http://schemas.openxmlformats.org/officeDocument/2006/relationships/hyperlink" Target="mailto:laseq.una@gmail.com" TargetMode="External"/><Relationship Id="rId138" Type="http://schemas.openxmlformats.org/officeDocument/2006/relationships/hyperlink" Target="mailto:contabilidad@romanasbyb.com" TargetMode="External"/><Relationship Id="rId137" Type="http://schemas.openxmlformats.org/officeDocument/2006/relationships/hyperlink" Target="mailto:mantenimiento@romanasbyb.com" TargetMode="External"/><Relationship Id="rId132" Type="http://schemas.openxmlformats.org/officeDocument/2006/relationships/hyperlink" Target="mailto:info@mat-tech.cr" TargetMode="External"/><Relationship Id="rId131" Type="http://schemas.openxmlformats.org/officeDocument/2006/relationships/hyperlink" Target="mailto:j.loria01@hotmail.com" TargetMode="External"/><Relationship Id="rId130" Type="http://schemas.openxmlformats.org/officeDocument/2006/relationships/hyperlink" Target="mailto:jchinchilla@romanaslumagre.com" TargetMode="External"/><Relationship Id="rId136" Type="http://schemas.openxmlformats.org/officeDocument/2006/relationships/hyperlink" Target="mailto:facturas@vapensa.com" TargetMode="External"/><Relationship Id="rId135" Type="http://schemas.openxmlformats.org/officeDocument/2006/relationships/hyperlink" Target="mailto:fnaranjo@vapensa.com" TargetMode="External"/><Relationship Id="rId134" Type="http://schemas.openxmlformats.org/officeDocument/2006/relationships/hyperlink" Target="http://www.vapensa.com/" TargetMode="External"/><Relationship Id="rId133" Type="http://schemas.openxmlformats.org/officeDocument/2006/relationships/hyperlink" Target="http://www.mat-tech.cr/" TargetMode="External"/><Relationship Id="rId62" Type="http://schemas.openxmlformats.org/officeDocument/2006/relationships/hyperlink" Target="mailto:richard.negron@alsglobal.com" TargetMode="External"/><Relationship Id="rId61" Type="http://schemas.openxmlformats.org/officeDocument/2006/relationships/hyperlink" Target="mailto:gpereira@inciensa.sa.cr" TargetMode="External"/><Relationship Id="rId64" Type="http://schemas.openxmlformats.org/officeDocument/2006/relationships/hyperlink" Target="mailto:melissa@gaia.cr.com" TargetMode="External"/><Relationship Id="rId63" Type="http://schemas.openxmlformats.org/officeDocument/2006/relationships/hyperlink" Target="http://www.gaiacr.com/" TargetMode="External"/><Relationship Id="rId66" Type="http://schemas.openxmlformats.org/officeDocument/2006/relationships/hyperlink" Target="http://www.sertekpesaje.net/" TargetMode="External"/><Relationship Id="rId65" Type="http://schemas.openxmlformats.org/officeDocument/2006/relationships/hyperlink" Target="mailto:proveeduria@romanasocony.com" TargetMode="External"/><Relationship Id="rId68" Type="http://schemas.openxmlformats.org/officeDocument/2006/relationships/hyperlink" Target="mailto:agamboa@ingenieriagamboa.com" TargetMode="External"/><Relationship Id="rId67" Type="http://schemas.openxmlformats.org/officeDocument/2006/relationships/hyperlink" Target="mailto:gbarrantes@ingenieriagamboa.com" TargetMode="External"/><Relationship Id="rId60" Type="http://schemas.openxmlformats.org/officeDocument/2006/relationships/hyperlink" Target="mailto:romario.masis@agqlabs.com" TargetMode="External"/><Relationship Id="rId69" Type="http://schemas.openxmlformats.org/officeDocument/2006/relationships/hyperlink" Target="http://www.ance.org.mx/" TargetMode="External"/><Relationship Id="rId51" Type="http://schemas.openxmlformats.org/officeDocument/2006/relationships/hyperlink" Target="mailto:durizar@disagro.com" TargetMode="External"/><Relationship Id="rId50" Type="http://schemas.openxmlformats.org/officeDocument/2006/relationships/hyperlink" Target="mailto:contabilidad@labmicrotec.com" TargetMode="External"/><Relationship Id="rId53" Type="http://schemas.openxmlformats.org/officeDocument/2006/relationships/hyperlink" Target="mailto:wendy.reynoso@metaldom.com" TargetMode="External"/><Relationship Id="rId52" Type="http://schemas.openxmlformats.org/officeDocument/2006/relationships/hyperlink" Target="http://www.disagro.com/" TargetMode="External"/><Relationship Id="rId55" Type="http://schemas.openxmlformats.org/officeDocument/2006/relationships/hyperlink" Target="mailto:katmuria@gmail.com" TargetMode="External"/><Relationship Id="rId54" Type="http://schemas.openxmlformats.org/officeDocument/2006/relationships/hyperlink" Target="mailto:yudelkis.villa@metaldom.com" TargetMode="External"/><Relationship Id="rId57" Type="http://schemas.openxmlformats.org/officeDocument/2006/relationships/hyperlink" Target="mailto:consulta_facturas@ccss.sa.cr" TargetMode="External"/><Relationship Id="rId56" Type="http://schemas.openxmlformats.org/officeDocument/2006/relationships/hyperlink" Target="mailto:mcoto@myv-sg.com" TargetMode="External"/><Relationship Id="rId59" Type="http://schemas.openxmlformats.org/officeDocument/2006/relationships/hyperlink" Target="http://www.agqlabs.cr/" TargetMode="External"/><Relationship Id="rId58" Type="http://schemas.openxmlformats.org/officeDocument/2006/relationships/hyperlink" Target="mailto:gmonge@lamcacr.com" TargetMode="External"/><Relationship Id="rId15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40" Type="http://schemas.openxmlformats.org/officeDocument/2006/relationships/hyperlink" Target="mailto:jose.rodriguez@scmmetrologia.com" TargetMode="External"/><Relationship Id="rId42" Type="http://schemas.openxmlformats.org/officeDocument/2006/relationships/hyperlink" Target="mailto:jean.sanabria@ucr.ac.cr" TargetMode="External"/><Relationship Id="rId41" Type="http://schemas.openxmlformats.org/officeDocument/2006/relationships/hyperlink" Target="mailto:laura.molina@scmmetrologia.com;%20&#160;mauricio.montero@scmmetrologia.com" TargetMode="External"/><Relationship Id="rId44" Type="http://schemas.openxmlformats.org/officeDocument/2006/relationships/hyperlink" Target="mailto:emanuel.quiros@dmimetrologia.com" TargetMode="External"/><Relationship Id="rId43" Type="http://schemas.openxmlformats.org/officeDocument/2006/relationships/hyperlink" Target="http://www.codocafe.gov.do/" TargetMode="External"/><Relationship Id="rId46" Type="http://schemas.openxmlformats.org/officeDocument/2006/relationships/hyperlink" Target="mailto:administrativofinanciero@dmimetrologia.com" TargetMode="External"/><Relationship Id="rId45" Type="http://schemas.openxmlformats.org/officeDocument/2006/relationships/hyperlink" Target="mailto:equiros@dmimetrologia.com" TargetMode="External"/><Relationship Id="rId106" Type="http://schemas.openxmlformats.org/officeDocument/2006/relationships/vmlDrawing" Target="../drawings/vmlDrawing2.vml"/><Relationship Id="rId105" Type="http://schemas.openxmlformats.org/officeDocument/2006/relationships/drawing" Target="../drawings/drawing3.xml"/><Relationship Id="rId104" Type="http://schemas.openxmlformats.org/officeDocument/2006/relationships/hyperlink" Target="mailto:pquiros@ice.go.cr" TargetMode="External"/><Relationship Id="rId48" Type="http://schemas.openxmlformats.org/officeDocument/2006/relationships/hyperlink" Target="mailto:tatilealbtes@gmail.com" TargetMode="External"/><Relationship Id="rId47" Type="http://schemas.openxmlformats.org/officeDocument/2006/relationships/hyperlink" Target="mailto:acordoba@cnp.go.cr" TargetMode="External"/><Relationship Id="rId49" Type="http://schemas.openxmlformats.org/officeDocument/2006/relationships/hyperlink" Target="mailto:servicioalcliente@secc.co.cr" TargetMode="External"/><Relationship Id="rId103" Type="http://schemas.openxmlformats.org/officeDocument/2006/relationships/hyperlink" Target="mailto:avargashe@ice.go.cr" TargetMode="External"/><Relationship Id="rId102" Type="http://schemas.openxmlformats.org/officeDocument/2006/relationships/hyperlink" Target="mailto:info@imsacostarica.com" TargetMode="External"/><Relationship Id="rId101" Type="http://schemas.openxmlformats.org/officeDocument/2006/relationships/hyperlink" Target="mailto:ap.cr@dekra.com" TargetMode="External"/><Relationship Id="rId100" Type="http://schemas.openxmlformats.org/officeDocument/2006/relationships/hyperlink" Target="mailto:maureen.ramirezviquez@dekra.com" TargetMode="External"/><Relationship Id="rId31" Type="http://schemas.openxmlformats.org/officeDocument/2006/relationships/hyperlink" Target="mailto:chaconlawyer@gmail.com" TargetMode="External"/><Relationship Id="rId30" Type="http://schemas.openxmlformats.org/officeDocument/2006/relationships/hyperlink" Target="mailto:cevchsa@gmail.com" TargetMode="External"/><Relationship Id="rId33" Type="http://schemas.openxmlformats.org/officeDocument/2006/relationships/hyperlink" Target="mailto:jjmesene@hotmail.com" TargetMode="External"/><Relationship Id="rId32" Type="http://schemas.openxmlformats.org/officeDocument/2006/relationships/hyperlink" Target="mailto:plataformadealmenar@gmail.com" TargetMode="External"/><Relationship Id="rId35" Type="http://schemas.openxmlformats.org/officeDocument/2006/relationships/hyperlink" Target="mailto:calidad@vieto.com" TargetMode="External"/><Relationship Id="rId34" Type="http://schemas.openxmlformats.org/officeDocument/2006/relationships/hyperlink" Target="mailto:susy.vieto@vieto.com" TargetMode="External"/><Relationship Id="rId37" Type="http://schemas.openxmlformats.org/officeDocument/2006/relationships/hyperlink" Target="mailto:info@cyt.cr" TargetMode="External"/><Relationship Id="rId36" Type="http://schemas.openxmlformats.org/officeDocument/2006/relationships/hyperlink" Target="mailto:opicado@cyt.cr" TargetMode="External"/><Relationship Id="rId39" Type="http://schemas.openxmlformats.org/officeDocument/2006/relationships/hyperlink" Target="mailto:carlos.alvarado@scmmetrologia.com" TargetMode="External"/><Relationship Id="rId38" Type="http://schemas.openxmlformats.org/officeDocument/2006/relationships/hyperlink" Target="mailto:calidadimnsa@gmail.com" TargetMode="External"/><Relationship Id="rId20" Type="http://schemas.openxmlformats.org/officeDocument/2006/relationships/hyperlink" Target="about:blank" TargetMode="External"/><Relationship Id="rId22" Type="http://schemas.openxmlformats.org/officeDocument/2006/relationships/hyperlink" Target="mailto:lmiranda@ccocimo.com" TargetMode="External"/><Relationship Id="rId21" Type="http://schemas.openxmlformats.org/officeDocument/2006/relationships/hyperlink" Target="mailto:grupodedal@gmail.com" TargetMode="External"/><Relationship Id="rId24" Type="http://schemas.openxmlformats.org/officeDocument/2006/relationships/hyperlink" Target="mailto:alistercm@diccoc.com" TargetMode="External"/><Relationship Id="rId23" Type="http://schemas.openxmlformats.org/officeDocument/2006/relationships/hyperlink" Target="mailto:ccocimo@gmail.com" TargetMode="External"/><Relationship Id="rId26" Type="http://schemas.openxmlformats.org/officeDocument/2006/relationships/hyperlink" Target="mailto:marrieta@grupolauher.com" TargetMode="External"/><Relationship Id="rId25" Type="http://schemas.openxmlformats.org/officeDocument/2006/relationships/hyperlink" Target="mailto:lmiranda@famcova.net" TargetMode="External"/><Relationship Id="rId28" Type="http://schemas.openxmlformats.org/officeDocument/2006/relationships/hyperlink" Target="mailto:infoincosesacr@gmail.com" TargetMode="External"/><Relationship Id="rId27" Type="http://schemas.openxmlformats.org/officeDocument/2006/relationships/hyperlink" Target="mailto:erikaguilarsanchez@yahoo.com" TargetMode="External"/><Relationship Id="rId29" Type="http://schemas.openxmlformats.org/officeDocument/2006/relationships/hyperlink" Target="mailto:containcosesa@gmail.com" TargetMode="External"/><Relationship Id="rId95" Type="http://schemas.openxmlformats.org/officeDocument/2006/relationships/hyperlink" Target="mailto:rzamora@elecmeza.com" TargetMode="External"/><Relationship Id="rId94" Type="http://schemas.openxmlformats.org/officeDocument/2006/relationships/hyperlink" Target="mailto:info@elecmeza.com" TargetMode="External"/><Relationship Id="rId97" Type="http://schemas.openxmlformats.org/officeDocument/2006/relationships/hyperlink" Target="mailto:facturas@elecmeza.com" TargetMode="External"/><Relationship Id="rId96" Type="http://schemas.openxmlformats.org/officeDocument/2006/relationships/hyperlink" Target="mailto:info@elecmeza.com" TargetMode="External"/><Relationship Id="rId11" Type="http://schemas.openxmlformats.org/officeDocument/2006/relationships/hyperlink" Target="mailto:psalas@cacisa.cr" TargetMode="External"/><Relationship Id="rId99" Type="http://schemas.openxmlformats.org/officeDocument/2006/relationships/hyperlink" Target="http://www.dekra.cr/" TargetMode="External"/><Relationship Id="rId10" Type="http://schemas.openxmlformats.org/officeDocument/2006/relationships/hyperlink" Target="mailto:pdaniels@cacisa.cr" TargetMode="External"/><Relationship Id="rId98" Type="http://schemas.openxmlformats.org/officeDocument/2006/relationships/hyperlink" Target="http://www.activacr.com/" TargetMode="External"/><Relationship Id="rId13" Type="http://schemas.openxmlformats.org/officeDocument/2006/relationships/hyperlink" Target="mailto:vdelgado@rtv.co.cr" TargetMode="External"/><Relationship Id="rId12" Type="http://schemas.openxmlformats.org/officeDocument/2006/relationships/hyperlink" Target="mailto:psalas@cacisa.cr" TargetMode="External"/><Relationship Id="rId91" Type="http://schemas.openxmlformats.org/officeDocument/2006/relationships/hyperlink" Target="mailto:gestoracalidad@imsacostarica.com" TargetMode="External"/><Relationship Id="rId90" Type="http://schemas.openxmlformats.org/officeDocument/2006/relationships/hyperlink" Target="mailto:kchaves@globalgmp.net" TargetMode="External"/><Relationship Id="rId93" Type="http://schemas.openxmlformats.org/officeDocument/2006/relationships/hyperlink" Target="mailto:info@imsacostarica.com" TargetMode="External"/><Relationship Id="rId92" Type="http://schemas.openxmlformats.org/officeDocument/2006/relationships/hyperlink" Target="mailto:info@imsacostarica.com" TargetMode="External"/><Relationship Id="rId15" Type="http://schemas.openxmlformats.org/officeDocument/2006/relationships/hyperlink" Target="mailto:calidad@iaacr.com" TargetMode="External"/><Relationship Id="rId14" Type="http://schemas.openxmlformats.org/officeDocument/2006/relationships/hyperlink" Target="mailto:gjimenez@rtv.co.cr" TargetMode="External"/><Relationship Id="rId17" Type="http://schemas.openxmlformats.org/officeDocument/2006/relationships/hyperlink" Target="mailto:sistema-calidad@cogusacr.net" TargetMode="External"/><Relationship Id="rId16" Type="http://schemas.openxmlformats.org/officeDocument/2006/relationships/hyperlink" Target="mailto:iaguilar@iaacr.com" TargetMode="External"/><Relationship Id="rId19" Type="http://schemas.openxmlformats.org/officeDocument/2006/relationships/hyperlink" Target="mailto:carlos.rivera@irssa-cr.com" TargetMode="External"/><Relationship Id="rId18" Type="http://schemas.openxmlformats.org/officeDocument/2006/relationships/hyperlink" Target="mailto:info@cogusacr.net&#160;" TargetMode="External"/><Relationship Id="rId84" Type="http://schemas.openxmlformats.org/officeDocument/2006/relationships/hyperlink" Target="mailto:info@selectrica.net" TargetMode="External"/><Relationship Id="rId83" Type="http://schemas.openxmlformats.org/officeDocument/2006/relationships/hyperlink" Target="mailto:marianela@selectrica.net" TargetMode="External"/><Relationship Id="rId86" Type="http://schemas.openxmlformats.org/officeDocument/2006/relationships/hyperlink" Target="mailto:mguillen@verleccr.com" TargetMode="External"/><Relationship Id="rId85" Type="http://schemas.openxmlformats.org/officeDocument/2006/relationships/hyperlink" Target="mailto:dana@selectrica.net" TargetMode="External"/><Relationship Id="rId88" Type="http://schemas.openxmlformats.org/officeDocument/2006/relationships/hyperlink" Target="mailto:contabilidad@verleccr.com" TargetMode="External"/><Relationship Id="rId87" Type="http://schemas.openxmlformats.org/officeDocument/2006/relationships/hyperlink" Target="mailto:info@verleccr.com" TargetMode="External"/><Relationship Id="rId89" Type="http://schemas.openxmlformats.org/officeDocument/2006/relationships/hyperlink" Target="mailto:gzavaleta@globalgmp.net" TargetMode="External"/><Relationship Id="rId80" Type="http://schemas.openxmlformats.org/officeDocument/2006/relationships/hyperlink" Target="mailto:Karla.vetrani.chavarria@una.cr" TargetMode="External"/><Relationship Id="rId82" Type="http://schemas.openxmlformats.org/officeDocument/2006/relationships/hyperlink" Target="mailto:info@proelectrica.net" TargetMode="External"/><Relationship Id="rId81" Type="http://schemas.openxmlformats.org/officeDocument/2006/relationships/hyperlink" Target="mailto:procame@una.cr"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mailto:alexis.ayala@intertek.com" TargetMode="External"/><Relationship Id="rId9" Type="http://schemas.openxmlformats.org/officeDocument/2006/relationships/hyperlink" Target="mailto:alice.cerdas@amspecgroup.com" TargetMode="External"/><Relationship Id="rId5" Type="http://schemas.openxmlformats.org/officeDocument/2006/relationships/hyperlink" Target="mailto:patricia.montenegro@amspecgroup.com" TargetMode="External"/><Relationship Id="rId6" Type="http://schemas.openxmlformats.org/officeDocument/2006/relationships/hyperlink" Target="mailto:enrique.wong@amspecgroup.com" TargetMode="External"/><Relationship Id="rId7" Type="http://schemas.openxmlformats.org/officeDocument/2006/relationships/hyperlink" Target="http://www.amspecgroup.com/" TargetMode="External"/><Relationship Id="rId8" Type="http://schemas.openxmlformats.org/officeDocument/2006/relationships/hyperlink" Target="mailto:enrique.wong@amspecgroup.com" TargetMode="External"/><Relationship Id="rId73" Type="http://schemas.openxmlformats.org/officeDocument/2006/relationships/hyperlink" Target="mailto:labmetrologia@recope.go.cr" TargetMode="External"/><Relationship Id="rId72" Type="http://schemas.openxmlformats.org/officeDocument/2006/relationships/hyperlink" Target="mailto:sg.metrologia@recope.go.cr" TargetMode="External"/><Relationship Id="rId75" Type="http://schemas.openxmlformats.org/officeDocument/2006/relationships/hyperlink" Target="mailto:joseabilio.serrano@recope.go.cr" TargetMode="External"/><Relationship Id="rId74" Type="http://schemas.openxmlformats.org/officeDocument/2006/relationships/hyperlink" Target="http://www.recope.go.cr/" TargetMode="External"/><Relationship Id="rId77" Type="http://schemas.openxmlformats.org/officeDocument/2006/relationships/hyperlink" Target="mailto:info@empresariosdelcombustible.com" TargetMode="External"/><Relationship Id="rId76" Type="http://schemas.openxmlformats.org/officeDocument/2006/relationships/hyperlink" Target="mailto:pguzman@empresariosdelcombustible.com" TargetMode="External"/><Relationship Id="rId79" Type="http://schemas.openxmlformats.org/officeDocument/2006/relationships/hyperlink" Target="mailto:procame@una.cr" TargetMode="External"/><Relationship Id="rId78" Type="http://schemas.openxmlformats.org/officeDocument/2006/relationships/hyperlink" Target="http://www.empresariosdelcombustible.com/" TargetMode="External"/><Relationship Id="rId71" Type="http://schemas.openxmlformats.org/officeDocument/2006/relationships/hyperlink" Target="mailto:info@proelectrica.net" TargetMode="External"/><Relationship Id="rId70" Type="http://schemas.openxmlformats.org/officeDocument/2006/relationships/hyperlink" Target="mailto:emmanuel.badilla@ucr.ac.cr" TargetMode="External"/><Relationship Id="rId62" Type="http://schemas.openxmlformats.org/officeDocument/2006/relationships/hyperlink" Target="mailto:facturacioncxp@itp.cr" TargetMode="External"/><Relationship Id="rId61" Type="http://schemas.openxmlformats.org/officeDocument/2006/relationships/hyperlink" Target="http://www.itp.cr/" TargetMode="External"/><Relationship Id="rId64" Type="http://schemas.openxmlformats.org/officeDocument/2006/relationships/hyperlink" Target="mailto:paula.solano@ucr.ac.cr" TargetMode="External"/><Relationship Id="rId63" Type="http://schemas.openxmlformats.org/officeDocument/2006/relationships/hyperlink" Target="mailto:esteban.duranherrera@ucr.ac.cr" TargetMode="External"/><Relationship Id="rId66" Type="http://schemas.openxmlformats.org/officeDocument/2006/relationships/hyperlink" Target="mailto:srodriguez@canapep.com" TargetMode="External"/><Relationship Id="rId65" Type="http://schemas.openxmlformats.org/officeDocument/2006/relationships/hyperlink" Target="mailto:eiq@ucr.ac.cr" TargetMode="External"/><Relationship Id="rId68" Type="http://schemas.openxmlformats.org/officeDocument/2006/relationships/hyperlink" Target="mailto:info@canapep.com" TargetMode="External"/><Relationship Id="rId67" Type="http://schemas.openxmlformats.org/officeDocument/2006/relationships/hyperlink" Target="mailto:amunoz@canapep.com&#160;" TargetMode="External"/><Relationship Id="rId60" Type="http://schemas.openxmlformats.org/officeDocument/2006/relationships/hyperlink" Target="mailto:shirleny.salas@itp.cr" TargetMode="External"/><Relationship Id="rId69" Type="http://schemas.openxmlformats.org/officeDocument/2006/relationships/hyperlink" Target="mailto:Direccion.lanamme@ucr.ac.cr" TargetMode="External"/><Relationship Id="rId51" Type="http://schemas.openxmlformats.org/officeDocument/2006/relationships/hyperlink" Target="http://www.sec.co.cr/" TargetMode="External"/><Relationship Id="rId50" Type="http://schemas.openxmlformats.org/officeDocument/2006/relationships/hyperlink" Target="mailto:coto.sergio@gmail.com" TargetMode="External"/><Relationship Id="rId53" Type="http://schemas.openxmlformats.org/officeDocument/2006/relationships/hyperlink" Target="http://www.tec.ac.cr/" TargetMode="External"/><Relationship Id="rId52" Type="http://schemas.openxmlformats.org/officeDocument/2006/relationships/hyperlink" Target="mailto:civco@tec.ac.cr&#160;" TargetMode="External"/><Relationship Id="rId55" Type="http://schemas.openxmlformats.org/officeDocument/2006/relationships/hyperlink" Target="mailto:jnunez@gruporoading.com" TargetMode="External"/><Relationship Id="rId54" Type="http://schemas.openxmlformats.org/officeDocument/2006/relationships/hyperlink" Target="mailto:chaverrilucia@gmail.com" TargetMode="External"/><Relationship Id="rId57" Type="http://schemas.openxmlformats.org/officeDocument/2006/relationships/hyperlink" Target="http://www.balanzasballar.com/" TargetMode="External"/><Relationship Id="rId56" Type="http://schemas.openxmlformats.org/officeDocument/2006/relationships/hyperlink" Target="mailto:rballar@ice.co.cr" TargetMode="External"/><Relationship Id="rId59" Type="http://schemas.openxmlformats.org/officeDocument/2006/relationships/hyperlink" Target="mailto:afonseca@chaso.com" TargetMode="External"/><Relationship Id="rId58" Type="http://schemas.openxmlformats.org/officeDocument/2006/relationships/hyperlink" Target="mailto:servicioalcliente@chaso.com&#160;" TargetMode="Externa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www.inciensa.sa.cr/" TargetMode="External"/><Relationship Id="rId9" Type="http://schemas.openxmlformats.org/officeDocument/2006/relationships/vmlDrawing" Target="../drawings/vmlDrawing3.vml"/><Relationship Id="rId5" Type="http://schemas.openxmlformats.org/officeDocument/2006/relationships/hyperlink" Target="mailto:vanny.mora@ucr.ac.cr" TargetMode="External"/><Relationship Id="rId6" Type="http://schemas.openxmlformats.org/officeDocument/2006/relationships/hyperlink" Target="mailto:rebeca.lopez@ucr.ac.cr" TargetMode="External"/><Relationship Id="rId7" Type="http://schemas.openxmlformats.org/officeDocument/2006/relationships/hyperlink" Target="http://www.cita.ucr.ac.cr/"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vmlDrawing" Target="../drawings/vmlDrawing4.vml"/><Relationship Id="rId11" Type="http://schemas.openxmlformats.org/officeDocument/2006/relationships/hyperlink" Target="http://www.labechandi.com/" TargetMode="External"/><Relationship Id="rId10" Type="http://schemas.openxmlformats.org/officeDocument/2006/relationships/hyperlink" Target="mailto:fechandi@labechandi.com" TargetMode="External"/><Relationship Id="rId13" Type="http://schemas.openxmlformats.org/officeDocument/2006/relationships/hyperlink" Target="http://www.laboratoriosanjose.com/" TargetMode="External"/><Relationship Id="rId12" Type="http://schemas.openxmlformats.org/officeDocument/2006/relationships/hyperlink" Target="mailto:m.vargas@laboratoriosanjose.com" TargetMode="External"/><Relationship Id="rId15" Type="http://schemas.openxmlformats.org/officeDocument/2006/relationships/hyperlink" Target="mailto:factura@bvlabs.cr" TargetMode="External"/><Relationship Id="rId14" Type="http://schemas.openxmlformats.org/officeDocument/2006/relationships/hyperlink" Target="mailto:administracion@laboratoriosanjose.com" TargetMode="External"/><Relationship Id="rId17" Type="http://schemas.openxmlformats.org/officeDocument/2006/relationships/hyperlink" Target="mailto:vsaenz@gruporisu.com" TargetMode="External"/><Relationship Id="rId16" Type="http://schemas.openxmlformats.org/officeDocument/2006/relationships/hyperlink" Target="mailto:smathieu@gruporisu.com" TargetMode="External"/><Relationship Id="rId19" Type="http://schemas.openxmlformats.org/officeDocument/2006/relationships/drawing" Target="../drawings/drawing5.xml"/><Relationship Id="rId18" Type="http://schemas.openxmlformats.org/officeDocument/2006/relationships/hyperlink" Target="mailto:contabilidad@gruporisu.com" TargetMode="External"/><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www.labinlab.com/" TargetMode="External"/><Relationship Id="rId9" Type="http://schemas.openxmlformats.org/officeDocument/2006/relationships/hyperlink" Target="mailto:info@histocito.net" TargetMode="External"/><Relationship Id="rId5" Type="http://schemas.openxmlformats.org/officeDocument/2006/relationships/hyperlink" Target="mailto:rchacon@labinlab.com" TargetMode="External"/><Relationship Id="rId6" Type="http://schemas.openxmlformats.org/officeDocument/2006/relationships/hyperlink" Target="https://www.coopesiba.com/" TargetMode="External"/><Relationship Id="rId7" Type="http://schemas.openxmlformats.org/officeDocument/2006/relationships/hyperlink" Target="mailto:achaves@coopesiba.com" TargetMode="External"/><Relationship Id="rId8" Type="http://schemas.openxmlformats.org/officeDocument/2006/relationships/hyperlink" Target="mailto:info@histolabscr.com" TargetMode="Externa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hyperlink" Target="mailto:gestion@inteco.org" TargetMode="External"/><Relationship Id="rId5" Type="http://schemas.openxmlformats.org/officeDocument/2006/relationships/hyperlink" Target="mailto:sgc@xkemas.org" TargetMode="External"/><Relationship Id="rId6" Type="http://schemas.openxmlformats.org/officeDocument/2006/relationships/hyperlink" Target="mailto:procame@una.cr" TargetMode="External"/><Relationship Id="rId7" Type="http://schemas.openxmlformats.org/officeDocument/2006/relationships/drawing" Target="../drawings/drawing6.xml"/><Relationship Id="rId8"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40" Type="http://schemas.openxmlformats.org/officeDocument/2006/relationships/hyperlink" Target="mailto:orlando.moya@fruno.com" TargetMode="External"/><Relationship Id="rId42" Type="http://schemas.openxmlformats.org/officeDocument/2006/relationships/hyperlink" Target="http://www.fruno.com/" TargetMode="External"/><Relationship Id="rId41" Type="http://schemas.openxmlformats.org/officeDocument/2006/relationships/hyperlink" Target="mailto:german.naranjo@fruno.com" TargetMode="External"/><Relationship Id="rId44" Type="http://schemas.openxmlformats.org/officeDocument/2006/relationships/hyperlink" Target="mailto:finance@kirecertifications.com" TargetMode="External"/><Relationship Id="rId43" Type="http://schemas.openxmlformats.org/officeDocument/2006/relationships/hyperlink" Target="mailto:carlos.bustamante@fruno.com" TargetMode="External"/><Relationship Id="rId46" Type="http://schemas.openxmlformats.org/officeDocument/2006/relationships/vmlDrawing" Target="../drawings/vmlDrawing6.vml"/><Relationship Id="rId45" Type="http://schemas.openxmlformats.org/officeDocument/2006/relationships/drawing" Target="../drawings/drawing7.xml"/><Relationship Id="rId31" Type="http://schemas.openxmlformats.org/officeDocument/2006/relationships/hyperlink" Target="https://www.csagroup.org/" TargetMode="External"/><Relationship Id="rId30" Type="http://schemas.openxmlformats.org/officeDocument/2006/relationships/hyperlink" Target="mailto:joseluis.hernandez@csagroup.org" TargetMode="External"/><Relationship Id="rId33" Type="http://schemas.openxmlformats.org/officeDocument/2006/relationships/hyperlink" Target="mailto:poluxsanchez.reyes@csagroup.org" TargetMode="External"/><Relationship Id="rId32" Type="http://schemas.openxmlformats.org/officeDocument/2006/relationships/hyperlink" Target="mailto:procurement@csagroup.org" TargetMode="External"/><Relationship Id="rId35" Type="http://schemas.openxmlformats.org/officeDocument/2006/relationships/hyperlink" Target="http://www.csagroup.org/" TargetMode="External"/><Relationship Id="rId34" Type="http://schemas.openxmlformats.org/officeDocument/2006/relationships/hyperlink" Target="mailto:joseluis.hernandez@csagroup.org" TargetMode="External"/><Relationship Id="rId37" Type="http://schemas.openxmlformats.org/officeDocument/2006/relationships/hyperlink" Target="mailto:jeaneth.baquedano@minalu.org" TargetMode="External"/><Relationship Id="rId36" Type="http://schemas.openxmlformats.org/officeDocument/2006/relationships/hyperlink" Target="mailto:minalu.certification@gmail.com" TargetMode="External"/><Relationship Id="rId39" Type="http://schemas.openxmlformats.org/officeDocument/2006/relationships/hyperlink" Target="mailto:contabilidad@minalu.org" TargetMode="External"/><Relationship Id="rId38" Type="http://schemas.openxmlformats.org/officeDocument/2006/relationships/hyperlink" Target="http://www.minaluhn.com/" TargetMode="External"/><Relationship Id="rId20" Type="http://schemas.openxmlformats.org/officeDocument/2006/relationships/hyperlink" Target="http://www.pacificcontrol.us/" TargetMode="External"/><Relationship Id="rId22" Type="http://schemas.openxmlformats.org/officeDocument/2006/relationships/hyperlink" Target="mailto:m.arias@pva-approvals.com" TargetMode="External"/><Relationship Id="rId21" Type="http://schemas.openxmlformats.org/officeDocument/2006/relationships/hyperlink" Target="mailto:facturacion@balticcontrol.us" TargetMode="External"/><Relationship Id="rId24" Type="http://schemas.openxmlformats.org/officeDocument/2006/relationships/hyperlink" Target="http://www.pcs.latam.net/" TargetMode="External"/><Relationship Id="rId23" Type="http://schemas.openxmlformats.org/officeDocument/2006/relationships/hyperlink" Target="mailto:info@pcs-latam.net" TargetMode="External"/><Relationship Id="rId26" Type="http://schemas.openxmlformats.org/officeDocument/2006/relationships/hyperlink" Target="mailto:mayacertcostarica@ymail.com" TargetMode="External"/><Relationship Id="rId25" Type="http://schemas.openxmlformats.org/officeDocument/2006/relationships/hyperlink" Target="mailto:roypaniagua@cfia.or.cr" TargetMode="External"/><Relationship Id="rId28" Type="http://schemas.openxmlformats.org/officeDocument/2006/relationships/hyperlink" Target="mailto:mayacertcostarica@ymail.com" TargetMode="External"/><Relationship Id="rId27" Type="http://schemas.openxmlformats.org/officeDocument/2006/relationships/hyperlink" Target="mailto:bernal.gutierrez@mayacert.com" TargetMode="External"/><Relationship Id="rId29" Type="http://schemas.openxmlformats.org/officeDocument/2006/relationships/hyperlink" Target="mailto:poluxsanchez.reyes@csagroup.org" TargetMode="External"/><Relationship Id="rId11" Type="http://schemas.openxmlformats.org/officeDocument/2006/relationships/hyperlink" Target="mailto:rodrigo.lopez@ance.org.mx" TargetMode="External"/><Relationship Id="rId10" Type="http://schemas.openxmlformats.org/officeDocument/2006/relationships/hyperlink" Target="https://primusauditingops.com/" TargetMode="External"/><Relationship Id="rId13" Type="http://schemas.openxmlformats.org/officeDocument/2006/relationships/hyperlink" Target="mailto:lourdes.cuellar@ul.com" TargetMode="External"/><Relationship Id="rId12" Type="http://schemas.openxmlformats.org/officeDocument/2006/relationships/hyperlink" Target="http://www.ance.org.mx/" TargetMode="External"/><Relationship Id="rId15" Type="http://schemas.openxmlformats.org/officeDocument/2006/relationships/hyperlink" Target="mailto:Humberto.gonzalez@kiwa.com" TargetMode="External"/><Relationship Id="rId14" Type="http://schemas.openxmlformats.org/officeDocument/2006/relationships/hyperlink" Target="mailto:roxana.diaz@ul.com" TargetMode="External"/><Relationship Id="rId17" Type="http://schemas.openxmlformats.org/officeDocument/2006/relationships/hyperlink" Target="https://www.kiwa.com/lat/es/" TargetMode="External"/><Relationship Id="rId16" Type="http://schemas.openxmlformats.org/officeDocument/2006/relationships/hyperlink" Target="mailto:Evelyn.hernandez@kiwa.lat" TargetMode="External"/><Relationship Id="rId19" Type="http://schemas.openxmlformats.org/officeDocument/2006/relationships/hyperlink" Target="mailto:gerencia@balticcontrol.us" TargetMode="External"/><Relationship Id="rId18" Type="http://schemas.openxmlformats.org/officeDocument/2006/relationships/hyperlink" Target="mailto:calidad1@pacificcontrol.us" TargetMode="External"/><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hyperlink" Target="mailto:gestion@inteco.org" TargetMode="External"/><Relationship Id="rId9" Type="http://schemas.openxmlformats.org/officeDocument/2006/relationships/hyperlink" Target="mailto:achacon@pao-cr.com" TargetMode="External"/><Relationship Id="rId5" Type="http://schemas.openxmlformats.org/officeDocument/2006/relationships/hyperlink" Target="mailto:gestion@inteco.org" TargetMode="External"/><Relationship Id="rId6" Type="http://schemas.openxmlformats.org/officeDocument/2006/relationships/hyperlink" Target="mailto:dzuniga@eco-logica.com" TargetMode="External"/><Relationship Id="rId7" Type="http://schemas.openxmlformats.org/officeDocument/2006/relationships/hyperlink" Target="mailto:info@mundoceliacocr.com" TargetMode="External"/><Relationship Id="rId8" Type="http://schemas.openxmlformats.org/officeDocument/2006/relationships/hyperlink" Target="mailto:tmeza@mundoceliacocr.com" TargetMode="External"/></Relationships>
</file>

<file path=xl/worksheets/_rels/sheet8.xml.rels><?xml version="1.0" encoding="UTF-8" standalone="yes"?><Relationships xmlns="http://schemas.openxmlformats.org/package/2006/relationships"><Relationship Id="rId11" Type="http://schemas.openxmlformats.org/officeDocument/2006/relationships/drawing" Target="../drawings/drawing8.xml"/><Relationship Id="rId10" Type="http://schemas.openxmlformats.org/officeDocument/2006/relationships/hyperlink" Target="mailto:wsrcertification@gmmail.com" TargetMode="External"/><Relationship Id="rId12" Type="http://schemas.openxmlformats.org/officeDocument/2006/relationships/vmlDrawing" Target="../drawings/vmlDrawing7.vml"/><Relationship Id="rId1" Type="http://schemas.openxmlformats.org/officeDocument/2006/relationships/comments" Target="../comments7.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mailto:gestion@inteco.org" TargetMode="External"/><Relationship Id="rId9" Type="http://schemas.openxmlformats.org/officeDocument/2006/relationships/hyperlink" Target="mailto:certificaciones@lms-cert.com" TargetMode="External"/><Relationship Id="rId5" Type="http://schemas.openxmlformats.org/officeDocument/2006/relationships/hyperlink" Target="mailto:gestion@inteco.org" TargetMode="External"/><Relationship Id="rId6" Type="http://schemas.openxmlformats.org/officeDocument/2006/relationships/hyperlink" Target="mailto:certificaciones@lms-cert.com" TargetMode="External"/><Relationship Id="rId7" Type="http://schemas.openxmlformats.org/officeDocument/2006/relationships/hyperlink" Target="mailto:comercial@lms-cert.com" TargetMode="External"/><Relationship Id="rId8" Type="http://schemas.openxmlformats.org/officeDocument/2006/relationships/hyperlink" Target="http://www.lmscert.com/" TargetMode="External"/></Relationships>
</file>

<file path=xl/worksheets/_rels/sheet9.xml.rels><?xml version="1.0" encoding="UTF-8" standalone="yes"?><Relationships xmlns="http://schemas.openxmlformats.org/package/2006/relationships"><Relationship Id="rId11" Type="http://schemas.openxmlformats.org/officeDocument/2006/relationships/hyperlink" Target="mailto:certificaciones@agrouniversal.com.ec" TargetMode="External"/><Relationship Id="rId10" Type="http://schemas.openxmlformats.org/officeDocument/2006/relationships/hyperlink" Target="mailto:administracion@gtfou.org" TargetMode="External"/><Relationship Id="rId13" Type="http://schemas.openxmlformats.org/officeDocument/2006/relationships/vmlDrawing" Target="../drawings/vmlDrawing8.vml"/><Relationship Id="rId12" Type="http://schemas.openxmlformats.org/officeDocument/2006/relationships/drawing" Target="../drawings/drawing9.xml"/><Relationship Id="rId1" Type="http://schemas.openxmlformats.org/officeDocument/2006/relationships/comments" Target="../comments8.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mailto:gestion@inteco.org" TargetMode="External"/><Relationship Id="rId9" Type="http://schemas.openxmlformats.org/officeDocument/2006/relationships/hyperlink" Target="http://www.gtfou.org/" TargetMode="External"/><Relationship Id="rId5" Type="http://schemas.openxmlformats.org/officeDocument/2006/relationships/hyperlink" Target="mailto:gestion@inteco.org" TargetMode="External"/><Relationship Id="rId6" Type="http://schemas.openxmlformats.org/officeDocument/2006/relationships/hyperlink" Target="http://www.lsqa.com/" TargetMode="External"/><Relationship Id="rId7" Type="http://schemas.openxmlformats.org/officeDocument/2006/relationships/hyperlink" Target="mailto:administracion@gtfou.org" TargetMode="External"/><Relationship Id="rId8" Type="http://schemas.openxmlformats.org/officeDocument/2006/relationships/hyperlink" Target="mailto:asistenciagtf@gtfou.org"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9" width="10.71"/>
    <col customWidth="1" min="10" max="10" width="19.29"/>
    <col customWidth="1" min="11" max="11" width="15.43"/>
    <col customWidth="1" min="12" max="26" width="10.71"/>
  </cols>
  <sheetData>
    <row r="1" ht="14.25" customHeight="1">
      <c r="A1" s="1" t="s">
        <v>0</v>
      </c>
      <c r="B1" s="2"/>
      <c r="C1" s="2"/>
      <c r="D1" s="2"/>
      <c r="E1" s="2"/>
      <c r="F1" s="2"/>
      <c r="G1" s="2"/>
      <c r="H1" s="2"/>
      <c r="I1" s="2"/>
      <c r="J1" s="3" t="s">
        <v>1</v>
      </c>
      <c r="K1" s="4" t="s">
        <v>2</v>
      </c>
    </row>
    <row r="2" ht="14.25" customHeight="1">
      <c r="A2" s="5"/>
      <c r="J2" s="6" t="s">
        <v>3</v>
      </c>
      <c r="K2" s="7" t="s">
        <v>4</v>
      </c>
    </row>
    <row r="3" ht="14.25" customHeight="1">
      <c r="A3" s="5"/>
      <c r="J3" s="8" t="s">
        <v>5</v>
      </c>
      <c r="K3" s="7" t="s">
        <v>6</v>
      </c>
    </row>
    <row r="4" ht="14.25" customHeight="1">
      <c r="A4" s="9"/>
      <c r="B4" s="10"/>
      <c r="C4" s="10"/>
      <c r="D4" s="10"/>
      <c r="E4" s="10"/>
      <c r="F4" s="10"/>
      <c r="G4" s="10"/>
      <c r="H4" s="10"/>
      <c r="I4" s="10"/>
      <c r="J4" s="11">
        <v>45503.0</v>
      </c>
      <c r="K4" s="12">
        <v>4.0</v>
      </c>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A1:I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43.71"/>
    <col customWidth="1" min="2" max="2" width="40.71"/>
    <col customWidth="1" min="3" max="3" width="13.43"/>
    <col customWidth="1" min="4" max="4" width="11.29"/>
    <col customWidth="1" min="5" max="5" width="12.14"/>
    <col customWidth="1" min="6" max="6" width="19.0"/>
    <col customWidth="1" min="7" max="7" width="21.57"/>
    <col customWidth="1" min="8" max="8" width="18.86"/>
    <col customWidth="1" min="9" max="9" width="17.86"/>
    <col customWidth="1" min="10" max="10" width="19.14"/>
    <col customWidth="1" min="11" max="11" width="20.86"/>
    <col customWidth="1" min="12" max="12" width="37.0"/>
    <col customWidth="1" min="13" max="13" width="33.14"/>
    <col customWidth="1" min="14" max="14" width="36.43"/>
    <col customWidth="1" min="15" max="16" width="18.71"/>
    <col customWidth="1" min="17" max="17" width="13.29"/>
    <col customWidth="1" min="18" max="18" width="35.71"/>
    <col customWidth="1" min="19" max="19" width="21.43"/>
    <col customWidth="1" min="20" max="20" width="22.43"/>
    <col customWidth="1" min="21" max="21" width="32.29"/>
    <col customWidth="1" min="22" max="22" width="32.14"/>
    <col customWidth="1" min="23" max="23" width="26.57"/>
    <col customWidth="1" min="24" max="24" width="17.43"/>
    <col customWidth="1" min="25" max="25" width="17.86"/>
    <col customWidth="1" min="26" max="26" width="19.43"/>
    <col customWidth="1" min="27" max="27" width="49.71"/>
    <col customWidth="1" min="28" max="28" width="25.29"/>
    <col customWidth="1" min="29" max="29" width="32.29"/>
    <col customWidth="1" min="30" max="30" width="28.86"/>
    <col customWidth="1" min="31" max="31" width="31.57"/>
    <col customWidth="1" min="32" max="32" width="18.71"/>
    <col customWidth="1" min="33" max="33" width="60.0"/>
    <col customWidth="1" min="34" max="34" width="18.71"/>
    <col customWidth="1" min="35" max="35" width="47.71"/>
    <col customWidth="1" min="36" max="36" width="22.71"/>
    <col customWidth="1" min="37" max="37" width="36.71"/>
    <col customWidth="1" min="38" max="38" width="62.0"/>
    <col customWidth="1" min="39" max="39" width="26.43"/>
    <col customWidth="1" min="40" max="49" width="15.14"/>
  </cols>
  <sheetData>
    <row r="1" ht="50.25" customHeight="1">
      <c r="A1" s="13"/>
      <c r="B1" s="14" t="s">
        <v>7</v>
      </c>
      <c r="C1" s="10"/>
      <c r="D1" s="10"/>
      <c r="E1" s="10"/>
      <c r="F1" s="10"/>
      <c r="G1" s="10"/>
      <c r="H1" s="10"/>
      <c r="I1" s="10"/>
      <c r="J1" s="10"/>
      <c r="K1" s="10"/>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6"/>
      <c r="AN1" s="17">
        <f>4*365</f>
        <v>1460</v>
      </c>
      <c r="AO1" s="16"/>
      <c r="AP1" s="16"/>
      <c r="AQ1" s="16"/>
      <c r="AR1" s="16"/>
      <c r="AS1" s="16"/>
      <c r="AT1" s="16"/>
      <c r="AU1" s="16"/>
      <c r="AV1" s="16"/>
      <c r="AW1" s="16"/>
      <c r="AX1" s="16"/>
      <c r="AY1" s="16"/>
      <c r="AZ1" s="16"/>
      <c r="BA1" s="16"/>
      <c r="BB1" s="16"/>
      <c r="BC1" s="16"/>
      <c r="BD1" s="16"/>
      <c r="BE1" s="16"/>
      <c r="BF1" s="16"/>
    </row>
    <row r="2" ht="51.75" customHeight="1">
      <c r="A2" s="18" t="s">
        <v>8</v>
      </c>
      <c r="B2" s="18" t="s">
        <v>9</v>
      </c>
      <c r="C2" s="18" t="s">
        <v>10</v>
      </c>
      <c r="D2" s="18" t="s">
        <v>11</v>
      </c>
      <c r="E2" s="18" t="s">
        <v>12</v>
      </c>
      <c r="F2" s="18" t="s">
        <v>13</v>
      </c>
      <c r="G2" s="18" t="s">
        <v>14</v>
      </c>
      <c r="H2" s="18" t="s">
        <v>15</v>
      </c>
      <c r="I2" s="18" t="s">
        <v>16</v>
      </c>
      <c r="J2" s="18" t="s">
        <v>17</v>
      </c>
      <c r="K2" s="18" t="s">
        <v>18</v>
      </c>
      <c r="L2" s="18" t="s">
        <v>19</v>
      </c>
      <c r="M2" s="18" t="s">
        <v>20</v>
      </c>
      <c r="N2" s="18" t="s">
        <v>21</v>
      </c>
      <c r="O2" s="18" t="s">
        <v>22</v>
      </c>
      <c r="P2" s="18" t="s">
        <v>23</v>
      </c>
      <c r="Q2" s="18" t="s">
        <v>24</v>
      </c>
      <c r="R2" s="18" t="s">
        <v>25</v>
      </c>
      <c r="S2" s="18" t="s">
        <v>26</v>
      </c>
      <c r="T2" s="18" t="s">
        <v>27</v>
      </c>
      <c r="U2" s="18" t="s">
        <v>28</v>
      </c>
      <c r="V2" s="18" t="s">
        <v>29</v>
      </c>
      <c r="W2" s="19" t="s">
        <v>30</v>
      </c>
      <c r="X2" s="18" t="s">
        <v>31</v>
      </c>
      <c r="Y2" s="19" t="s">
        <v>32</v>
      </c>
      <c r="Z2" s="19" t="s">
        <v>33</v>
      </c>
      <c r="AA2" s="18" t="s">
        <v>34</v>
      </c>
      <c r="AB2" s="18" t="s">
        <v>35</v>
      </c>
      <c r="AC2" s="18" t="s">
        <v>36</v>
      </c>
      <c r="AD2" s="18" t="s">
        <v>37</v>
      </c>
      <c r="AE2" s="18" t="s">
        <v>38</v>
      </c>
      <c r="AF2" s="18" t="s">
        <v>39</v>
      </c>
      <c r="AG2" s="18" t="s">
        <v>40</v>
      </c>
      <c r="AH2" s="18" t="s">
        <v>41</v>
      </c>
      <c r="AI2" s="18" t="s">
        <v>42</v>
      </c>
      <c r="AJ2" s="18" t="s">
        <v>43</v>
      </c>
      <c r="AK2" s="18" t="s">
        <v>44</v>
      </c>
      <c r="AL2" s="19" t="s">
        <v>45</v>
      </c>
      <c r="AM2" s="17"/>
      <c r="AN2" s="17"/>
      <c r="AO2" s="17"/>
      <c r="AP2" s="17"/>
      <c r="AQ2" s="17"/>
      <c r="AR2" s="17"/>
      <c r="AS2" s="17"/>
      <c r="AT2" s="17"/>
      <c r="AU2" s="17"/>
      <c r="AV2" s="17"/>
      <c r="AW2" s="17"/>
      <c r="AX2" s="17"/>
      <c r="AY2" s="17"/>
      <c r="AZ2" s="17"/>
      <c r="BA2" s="17"/>
      <c r="BB2" s="17"/>
      <c r="BC2" s="17"/>
      <c r="BD2" s="17"/>
      <c r="BE2" s="17"/>
      <c r="BF2" s="17"/>
    </row>
    <row r="3" ht="60.0" customHeight="1">
      <c r="A3" s="20" t="s">
        <v>46</v>
      </c>
      <c r="B3" s="20" t="s">
        <v>46</v>
      </c>
      <c r="C3" s="20" t="s">
        <v>47</v>
      </c>
      <c r="D3" s="21" t="s">
        <v>48</v>
      </c>
      <c r="E3" s="20" t="s">
        <v>49</v>
      </c>
      <c r="F3" s="20" t="s">
        <v>50</v>
      </c>
      <c r="G3" s="20" t="s">
        <v>50</v>
      </c>
      <c r="H3" s="22">
        <v>45128.0</v>
      </c>
      <c r="I3" s="23">
        <f>'17025 SAL'!$H3+$AN$1</f>
        <v>46588</v>
      </c>
      <c r="J3" s="23">
        <v>35536.0</v>
      </c>
      <c r="K3" s="20"/>
      <c r="L3" s="20" t="s">
        <v>51</v>
      </c>
      <c r="M3" s="24" t="s">
        <v>52</v>
      </c>
      <c r="N3" s="25" t="s">
        <v>53</v>
      </c>
      <c r="O3" s="20" t="s">
        <v>54</v>
      </c>
      <c r="P3" s="20" t="s">
        <v>54</v>
      </c>
      <c r="Q3" s="20" t="s">
        <v>55</v>
      </c>
      <c r="R3" s="20" t="s">
        <v>56</v>
      </c>
      <c r="S3" s="20" t="s">
        <v>57</v>
      </c>
      <c r="T3" s="24" t="s">
        <v>58</v>
      </c>
      <c r="U3" s="25" t="s">
        <v>59</v>
      </c>
      <c r="V3" s="20" t="s">
        <v>60</v>
      </c>
      <c r="W3" s="20" t="s">
        <v>61</v>
      </c>
      <c r="X3" s="20" t="s">
        <v>62</v>
      </c>
      <c r="Y3" s="20" t="s">
        <v>63</v>
      </c>
      <c r="Z3" s="20" t="s">
        <v>64</v>
      </c>
      <c r="AA3" s="26" t="s">
        <v>65</v>
      </c>
      <c r="AB3" s="27" t="s">
        <v>66</v>
      </c>
      <c r="AC3" s="20" t="s">
        <v>67</v>
      </c>
      <c r="AD3" s="20" t="s">
        <v>68</v>
      </c>
      <c r="AE3" s="20" t="s">
        <v>46</v>
      </c>
      <c r="AF3" s="20" t="s">
        <v>54</v>
      </c>
      <c r="AG3" s="20" t="s">
        <v>69</v>
      </c>
      <c r="AH3" s="20" t="s">
        <v>54</v>
      </c>
      <c r="AI3" s="28" t="s">
        <v>70</v>
      </c>
      <c r="AJ3" s="20" t="s">
        <v>71</v>
      </c>
      <c r="AK3" s="20" t="s">
        <v>46</v>
      </c>
      <c r="AL3" s="20" t="s">
        <v>72</v>
      </c>
      <c r="AM3" s="29"/>
      <c r="AN3" s="29"/>
      <c r="AO3" s="29"/>
      <c r="AP3" s="29"/>
      <c r="AQ3" s="29"/>
      <c r="AR3" s="29"/>
      <c r="AS3" s="29"/>
      <c r="AT3" s="29"/>
      <c r="AU3" s="29"/>
      <c r="AV3" s="29"/>
      <c r="AW3" s="29"/>
      <c r="AX3" s="29"/>
      <c r="AY3" s="29"/>
      <c r="AZ3" s="29"/>
      <c r="BA3" s="29"/>
      <c r="BB3" s="29"/>
      <c r="BC3" s="29"/>
      <c r="BD3" s="29"/>
      <c r="BE3" s="29"/>
      <c r="BF3" s="29"/>
    </row>
    <row r="4" ht="60.0" customHeight="1">
      <c r="A4" s="20" t="s">
        <v>73</v>
      </c>
      <c r="B4" s="20" t="s">
        <v>74</v>
      </c>
      <c r="C4" s="20" t="s">
        <v>47</v>
      </c>
      <c r="D4" s="21" t="s">
        <v>48</v>
      </c>
      <c r="E4" s="20" t="s">
        <v>49</v>
      </c>
      <c r="F4" s="20" t="s">
        <v>75</v>
      </c>
      <c r="G4" s="20" t="s">
        <v>75</v>
      </c>
      <c r="H4" s="23">
        <v>45859.0</v>
      </c>
      <c r="I4" s="30" t="s">
        <v>76</v>
      </c>
      <c r="J4" s="23">
        <v>35879.0</v>
      </c>
      <c r="K4" s="20"/>
      <c r="L4" s="20" t="s">
        <v>77</v>
      </c>
      <c r="M4" s="24" t="s">
        <v>78</v>
      </c>
      <c r="N4" s="31" t="s">
        <v>79</v>
      </c>
      <c r="O4" s="20">
        <v>2.2723159E7</v>
      </c>
      <c r="P4" s="20">
        <v>2.2723159E7</v>
      </c>
      <c r="Q4" s="20" t="s">
        <v>55</v>
      </c>
      <c r="R4" s="20" t="s">
        <v>80</v>
      </c>
      <c r="S4" s="20" t="s">
        <v>57</v>
      </c>
      <c r="T4" s="20" t="s">
        <v>81</v>
      </c>
      <c r="U4" s="25" t="str">
        <f>HYPERLINK("http://www.labaqylasa.com/","www.labaqylasa.com ")</f>
        <v>www.labaqylasa.com </v>
      </c>
      <c r="V4" s="20" t="s">
        <v>82</v>
      </c>
      <c r="W4" s="20" t="s">
        <v>83</v>
      </c>
      <c r="X4" s="20" t="s">
        <v>84</v>
      </c>
      <c r="Y4" s="20" t="s">
        <v>85</v>
      </c>
      <c r="Z4" s="20" t="s">
        <v>86</v>
      </c>
      <c r="AA4" s="20" t="s">
        <v>87</v>
      </c>
      <c r="AB4" s="20"/>
      <c r="AC4" s="20" t="s">
        <v>88</v>
      </c>
      <c r="AD4" s="20" t="s">
        <v>89</v>
      </c>
      <c r="AE4" s="20" t="s">
        <v>90</v>
      </c>
      <c r="AF4" s="20">
        <v>2.2723159E7</v>
      </c>
      <c r="AG4" s="20" t="s">
        <v>87</v>
      </c>
      <c r="AH4" s="20">
        <v>2.2723159E7</v>
      </c>
      <c r="AI4" s="25" t="str">
        <f>HYPERLINK("mailto:aqylasa@ice.co.cr","aqylasa@ice.co.cr ")</f>
        <v>aqylasa@ice.co.cr </v>
      </c>
      <c r="AJ4" s="20" t="s">
        <v>91</v>
      </c>
      <c r="AK4" s="20" t="s">
        <v>92</v>
      </c>
      <c r="AL4" s="20" t="s">
        <v>93</v>
      </c>
      <c r="AM4" s="29"/>
      <c r="AN4" s="29"/>
      <c r="AO4" s="29"/>
      <c r="AP4" s="29"/>
      <c r="AQ4" s="29"/>
      <c r="AR4" s="29"/>
      <c r="AS4" s="29"/>
      <c r="AT4" s="29"/>
      <c r="AU4" s="29"/>
      <c r="AV4" s="29"/>
      <c r="AW4" s="29"/>
      <c r="AX4" s="29"/>
      <c r="AY4" s="29"/>
      <c r="AZ4" s="29"/>
      <c r="BA4" s="29"/>
      <c r="BB4" s="29"/>
      <c r="BC4" s="29"/>
      <c r="BD4" s="29"/>
      <c r="BE4" s="29"/>
      <c r="BF4" s="29"/>
    </row>
    <row r="5" ht="60.0" customHeight="1">
      <c r="A5" s="20" t="s">
        <v>94</v>
      </c>
      <c r="B5" s="20" t="s">
        <v>95</v>
      </c>
      <c r="C5" s="20" t="s">
        <v>47</v>
      </c>
      <c r="D5" s="21" t="s">
        <v>48</v>
      </c>
      <c r="E5" s="20" t="s">
        <v>96</v>
      </c>
      <c r="F5" s="20" t="s">
        <v>97</v>
      </c>
      <c r="G5" s="20" t="s">
        <v>97</v>
      </c>
      <c r="H5" s="23">
        <v>45414.0</v>
      </c>
      <c r="I5" s="23">
        <f>'17025 SAL'!$H5+$AN$1</f>
        <v>46874</v>
      </c>
      <c r="J5" s="23">
        <v>36707.0</v>
      </c>
      <c r="K5" s="20"/>
      <c r="L5" s="20" t="s">
        <v>98</v>
      </c>
      <c r="M5" s="31" t="s">
        <v>99</v>
      </c>
      <c r="N5" s="32" t="s">
        <v>100</v>
      </c>
      <c r="O5" s="20" t="s">
        <v>101</v>
      </c>
      <c r="P5" s="20" t="s">
        <v>102</v>
      </c>
      <c r="Q5" s="20" t="s">
        <v>55</v>
      </c>
      <c r="R5" s="20" t="s">
        <v>103</v>
      </c>
      <c r="S5" s="20" t="s">
        <v>104</v>
      </c>
      <c r="T5" s="20" t="s">
        <v>105</v>
      </c>
      <c r="U5" s="25" t="str">
        <f>HYPERLINK("http://www.tec.ac.cr/","www.tec.ac.cr")</f>
        <v>www.tec.ac.cr</v>
      </c>
      <c r="V5" s="20" t="s">
        <v>106</v>
      </c>
      <c r="W5" s="20"/>
      <c r="X5" s="20"/>
      <c r="Y5" s="20"/>
      <c r="Z5" s="20"/>
      <c r="AA5" s="20" t="s">
        <v>107</v>
      </c>
      <c r="AB5" s="20"/>
      <c r="AC5" s="20" t="s">
        <v>108</v>
      </c>
      <c r="AD5" s="20" t="s">
        <v>109</v>
      </c>
      <c r="AE5" s="20" t="s">
        <v>110</v>
      </c>
      <c r="AF5" s="20" t="s">
        <v>101</v>
      </c>
      <c r="AG5" s="20" t="s">
        <v>103</v>
      </c>
      <c r="AH5" s="20">
        <v>2.5915147E7</v>
      </c>
      <c r="AI5" s="25" t="str">
        <f>HYPERLINK("mailto:ceqiatec@itcr.ac.cr","ceqiatec@itcr.ac.cr")</f>
        <v>ceqiatec@itcr.ac.cr</v>
      </c>
      <c r="AJ5" s="20" t="s">
        <v>111</v>
      </c>
      <c r="AK5" s="20" t="s">
        <v>112</v>
      </c>
      <c r="AL5" s="20" t="s">
        <v>113</v>
      </c>
      <c r="AM5" s="29"/>
      <c r="AN5" s="29"/>
      <c r="AO5" s="29"/>
      <c r="AP5" s="29"/>
      <c r="AQ5" s="29"/>
      <c r="AR5" s="29"/>
      <c r="AS5" s="29"/>
      <c r="AT5" s="29"/>
      <c r="AU5" s="29"/>
      <c r="AV5" s="29"/>
      <c r="AW5" s="29"/>
      <c r="AX5" s="29"/>
      <c r="AY5" s="29"/>
      <c r="AZ5" s="29"/>
      <c r="BA5" s="29"/>
      <c r="BB5" s="29"/>
      <c r="BC5" s="29"/>
      <c r="BD5" s="29"/>
      <c r="BE5" s="29"/>
      <c r="BF5" s="29"/>
    </row>
    <row r="6" ht="60.0" customHeight="1">
      <c r="A6" s="20" t="s">
        <v>114</v>
      </c>
      <c r="B6" s="20" t="s">
        <v>115</v>
      </c>
      <c r="C6" s="20" t="s">
        <v>47</v>
      </c>
      <c r="D6" s="21" t="s">
        <v>48</v>
      </c>
      <c r="E6" s="20" t="s">
        <v>49</v>
      </c>
      <c r="F6" s="20" t="s">
        <v>116</v>
      </c>
      <c r="G6" s="20" t="s">
        <v>116</v>
      </c>
      <c r="H6" s="23">
        <v>43909.0</v>
      </c>
      <c r="I6" s="33">
        <f>'17025 SAL'!$H6+$AN$1</f>
        <v>45369</v>
      </c>
      <c r="J6" s="23">
        <v>37882.0</v>
      </c>
      <c r="K6" s="20"/>
      <c r="L6" s="20" t="s">
        <v>117</v>
      </c>
      <c r="M6" s="24" t="s">
        <v>118</v>
      </c>
      <c r="N6" s="34" t="s">
        <v>119</v>
      </c>
      <c r="O6" s="35">
        <v>2.29848E7</v>
      </c>
      <c r="P6" s="35" t="s">
        <v>76</v>
      </c>
      <c r="Q6" s="20" t="s">
        <v>55</v>
      </c>
      <c r="R6" s="35" t="s">
        <v>120</v>
      </c>
      <c r="S6" s="20" t="s">
        <v>121</v>
      </c>
      <c r="T6" s="35">
        <v>3.102011928E9</v>
      </c>
      <c r="U6" s="36" t="s">
        <v>122</v>
      </c>
      <c r="V6" s="37" t="s">
        <v>123</v>
      </c>
      <c r="W6" s="35" t="s">
        <v>124</v>
      </c>
      <c r="X6" s="26" t="s">
        <v>62</v>
      </c>
      <c r="Y6" s="26" t="s">
        <v>63</v>
      </c>
      <c r="Z6" s="26" t="s">
        <v>125</v>
      </c>
      <c r="AA6" s="20" t="s">
        <v>120</v>
      </c>
      <c r="AB6" s="38" t="s">
        <v>126</v>
      </c>
      <c r="AC6" s="26" t="s">
        <v>127</v>
      </c>
      <c r="AD6" s="20" t="s">
        <v>128</v>
      </c>
      <c r="AE6" s="20" t="s">
        <v>128</v>
      </c>
      <c r="AF6" s="20" t="s">
        <v>76</v>
      </c>
      <c r="AG6" s="20" t="s">
        <v>120</v>
      </c>
      <c r="AH6" s="20"/>
      <c r="AI6" s="38" t="s">
        <v>129</v>
      </c>
      <c r="AJ6" s="20" t="s">
        <v>130</v>
      </c>
      <c r="AK6" s="20" t="s">
        <v>131</v>
      </c>
      <c r="AL6" s="20" t="s">
        <v>132</v>
      </c>
      <c r="AM6" s="29"/>
      <c r="AN6" s="29"/>
      <c r="AO6" s="29"/>
      <c r="AP6" s="29"/>
      <c r="AQ6" s="29"/>
      <c r="AR6" s="29"/>
      <c r="AS6" s="29"/>
      <c r="AT6" s="29"/>
      <c r="AU6" s="29"/>
      <c r="AV6" s="29"/>
      <c r="AW6" s="29"/>
      <c r="AX6" s="29"/>
      <c r="AY6" s="29"/>
      <c r="AZ6" s="29"/>
      <c r="BA6" s="29"/>
      <c r="BB6" s="29"/>
      <c r="BC6" s="29"/>
      <c r="BD6" s="29"/>
      <c r="BE6" s="29"/>
      <c r="BF6" s="29"/>
    </row>
    <row r="7" ht="60.0" customHeight="1">
      <c r="A7" s="20" t="s">
        <v>133</v>
      </c>
      <c r="B7" s="20" t="s">
        <v>134</v>
      </c>
      <c r="C7" s="20" t="s">
        <v>47</v>
      </c>
      <c r="D7" s="21" t="s">
        <v>48</v>
      </c>
      <c r="E7" s="20" t="s">
        <v>96</v>
      </c>
      <c r="F7" s="20" t="s">
        <v>135</v>
      </c>
      <c r="G7" s="20" t="s">
        <v>136</v>
      </c>
      <c r="H7" s="23">
        <v>45147.0</v>
      </c>
      <c r="I7" s="23">
        <f>'17025 SAL'!$H7+$AN$1</f>
        <v>46607</v>
      </c>
      <c r="J7" s="23">
        <v>36707.0</v>
      </c>
      <c r="K7" s="20"/>
      <c r="L7" s="20" t="s">
        <v>137</v>
      </c>
      <c r="M7" s="24" t="s">
        <v>138</v>
      </c>
      <c r="N7" s="25"/>
      <c r="O7" s="20" t="s">
        <v>139</v>
      </c>
      <c r="P7" s="20" t="s">
        <v>140</v>
      </c>
      <c r="Q7" s="20" t="s">
        <v>55</v>
      </c>
      <c r="R7" s="20" t="s">
        <v>141</v>
      </c>
      <c r="S7" s="20" t="s">
        <v>57</v>
      </c>
      <c r="T7" s="20" t="s">
        <v>142</v>
      </c>
      <c r="U7" s="34" t="s">
        <v>143</v>
      </c>
      <c r="V7" s="20" t="s">
        <v>144</v>
      </c>
      <c r="W7" s="20" t="s">
        <v>145</v>
      </c>
      <c r="X7" s="20" t="s">
        <v>62</v>
      </c>
      <c r="Y7" s="26" t="s">
        <v>63</v>
      </c>
      <c r="Z7" s="20" t="s">
        <v>146</v>
      </c>
      <c r="AA7" s="20" t="s">
        <v>147</v>
      </c>
      <c r="AB7" s="20"/>
      <c r="AC7" s="20" t="s">
        <v>148</v>
      </c>
      <c r="AD7" s="20" t="s">
        <v>149</v>
      </c>
      <c r="AE7" s="20" t="s">
        <v>150</v>
      </c>
      <c r="AF7" s="20">
        <v>2.5118205E7</v>
      </c>
      <c r="AG7" s="20" t="s">
        <v>141</v>
      </c>
      <c r="AH7" s="20" t="s">
        <v>151</v>
      </c>
      <c r="AI7" s="25" t="str">
        <f>HYPERLINK("mailto:maria.vanegas.aviles@gmail.com","maria.vanegas.aviles@gmail.com ")</f>
        <v>maria.vanegas.aviles@gmail.com </v>
      </c>
      <c r="AJ7" s="20" t="s">
        <v>152</v>
      </c>
      <c r="AK7" s="20" t="s">
        <v>153</v>
      </c>
      <c r="AL7" s="20" t="s">
        <v>154</v>
      </c>
      <c r="AM7" s="16"/>
      <c r="AN7" s="16"/>
      <c r="AO7" s="16"/>
      <c r="AP7" s="16"/>
      <c r="AQ7" s="16"/>
      <c r="AR7" s="16"/>
      <c r="AS7" s="16"/>
      <c r="AT7" s="16"/>
      <c r="AU7" s="16"/>
      <c r="AV7" s="16"/>
      <c r="AW7" s="16"/>
      <c r="AX7" s="16"/>
      <c r="AY7" s="16"/>
      <c r="AZ7" s="16"/>
      <c r="BA7" s="16"/>
      <c r="BB7" s="16"/>
      <c r="BC7" s="16"/>
      <c r="BD7" s="16"/>
      <c r="BE7" s="16"/>
      <c r="BF7" s="16"/>
    </row>
    <row r="8" ht="60.0" customHeight="1">
      <c r="A8" s="20" t="s">
        <v>155</v>
      </c>
      <c r="B8" s="20" t="s">
        <v>156</v>
      </c>
      <c r="C8" s="20" t="s">
        <v>47</v>
      </c>
      <c r="D8" s="21" t="s">
        <v>48</v>
      </c>
      <c r="E8" s="24" t="s">
        <v>157</v>
      </c>
      <c r="F8" s="20" t="s">
        <v>158</v>
      </c>
      <c r="G8" s="20" t="s">
        <v>158</v>
      </c>
      <c r="H8" s="23">
        <v>43900.0</v>
      </c>
      <c r="I8" s="33">
        <f>'17025 SAL'!$H8+$AN$1</f>
        <v>45360</v>
      </c>
      <c r="J8" s="23">
        <v>36944.0</v>
      </c>
      <c r="K8" s="20" t="s">
        <v>159</v>
      </c>
      <c r="L8" s="20" t="s">
        <v>160</v>
      </c>
      <c r="M8" s="20" t="s">
        <v>161</v>
      </c>
      <c r="N8" s="20" t="s">
        <v>162</v>
      </c>
      <c r="O8" s="35" t="s">
        <v>163</v>
      </c>
      <c r="P8" s="35" t="s">
        <v>76</v>
      </c>
      <c r="Q8" s="20" t="s">
        <v>55</v>
      </c>
      <c r="R8" s="20" t="s">
        <v>164</v>
      </c>
      <c r="S8" s="20" t="s">
        <v>104</v>
      </c>
      <c r="T8" s="20" t="s">
        <v>165</v>
      </c>
      <c r="U8" s="25" t="str">
        <f>HYPERLINK("http://www.recope.go.cr/","www.recope.go.cr ")</f>
        <v>www.recope.go.cr </v>
      </c>
      <c r="V8" s="35" t="s">
        <v>166</v>
      </c>
      <c r="W8" s="35">
        <v>7.00860334E8</v>
      </c>
      <c r="X8" s="20" t="s">
        <v>62</v>
      </c>
      <c r="Y8" s="20" t="s">
        <v>63</v>
      </c>
      <c r="Z8" s="20" t="s">
        <v>167</v>
      </c>
      <c r="AA8" s="20" t="s">
        <v>168</v>
      </c>
      <c r="AB8" s="20"/>
      <c r="AC8" s="20" t="s">
        <v>169</v>
      </c>
      <c r="AD8" s="20" t="s">
        <v>170</v>
      </c>
      <c r="AE8" s="20" t="s">
        <v>171</v>
      </c>
      <c r="AF8" s="20" t="s">
        <v>172</v>
      </c>
      <c r="AG8" s="20" t="s">
        <v>173</v>
      </c>
      <c r="AH8" s="20" t="s">
        <v>76</v>
      </c>
      <c r="AI8" s="38" t="s">
        <v>174</v>
      </c>
      <c r="AJ8" s="20" t="s">
        <v>175</v>
      </c>
      <c r="AK8" s="20" t="s">
        <v>176</v>
      </c>
      <c r="AL8" s="20" t="s">
        <v>177</v>
      </c>
      <c r="AM8" s="16"/>
      <c r="AN8" s="16"/>
      <c r="AO8" s="16"/>
      <c r="AP8" s="16"/>
      <c r="AQ8" s="16"/>
      <c r="AR8" s="16"/>
      <c r="AS8" s="16"/>
      <c r="AT8" s="16"/>
      <c r="AU8" s="16"/>
      <c r="AV8" s="16"/>
      <c r="AW8" s="16"/>
      <c r="AX8" s="16"/>
      <c r="AY8" s="16"/>
      <c r="AZ8" s="16"/>
      <c r="BA8" s="16"/>
      <c r="BB8" s="16"/>
      <c r="BC8" s="16"/>
      <c r="BD8" s="16"/>
      <c r="BE8" s="16"/>
      <c r="BF8" s="16"/>
    </row>
    <row r="9" ht="60.0" customHeight="1">
      <c r="A9" s="20" t="s">
        <v>178</v>
      </c>
      <c r="B9" s="20"/>
      <c r="C9" s="20" t="s">
        <v>47</v>
      </c>
      <c r="D9" s="21" t="s">
        <v>48</v>
      </c>
      <c r="E9" s="20" t="s">
        <v>49</v>
      </c>
      <c r="F9" s="20" t="s">
        <v>179</v>
      </c>
      <c r="G9" s="20" t="s">
        <v>179</v>
      </c>
      <c r="H9" s="23">
        <v>43963.0</v>
      </c>
      <c r="I9" s="33">
        <f>'17025 SAL'!$H9+$AN$1</f>
        <v>45423</v>
      </c>
      <c r="J9" s="23">
        <v>37194.0</v>
      </c>
      <c r="K9" s="20"/>
      <c r="L9" s="20" t="s">
        <v>180</v>
      </c>
      <c r="M9" s="20" t="s">
        <v>181</v>
      </c>
      <c r="N9" s="20" t="s">
        <v>182</v>
      </c>
      <c r="O9" s="20" t="s">
        <v>183</v>
      </c>
      <c r="P9" s="20" t="s">
        <v>184</v>
      </c>
      <c r="Q9" s="20" t="s">
        <v>55</v>
      </c>
      <c r="R9" s="20" t="s">
        <v>185</v>
      </c>
      <c r="S9" s="20" t="s">
        <v>57</v>
      </c>
      <c r="T9" s="24" t="s">
        <v>186</v>
      </c>
      <c r="U9" s="25" t="str">
        <f>HYPERLINK("http://www.labsanmatin.com/","www.labsanmatin.com   ")</f>
        <v>www.labsanmatin.com   </v>
      </c>
      <c r="V9" s="20" t="s">
        <v>180</v>
      </c>
      <c r="W9" s="20" t="s">
        <v>187</v>
      </c>
      <c r="X9" s="20" t="s">
        <v>62</v>
      </c>
      <c r="Y9" s="20" t="s">
        <v>63</v>
      </c>
      <c r="Z9" s="20" t="s">
        <v>188</v>
      </c>
      <c r="AA9" s="20" t="s">
        <v>189</v>
      </c>
      <c r="AB9" s="20"/>
      <c r="AC9" s="20" t="s">
        <v>67</v>
      </c>
      <c r="AD9" s="20" t="s">
        <v>190</v>
      </c>
      <c r="AE9" s="20" t="s">
        <v>191</v>
      </c>
      <c r="AF9" s="20" t="s">
        <v>183</v>
      </c>
      <c r="AG9" s="20" t="s">
        <v>189</v>
      </c>
      <c r="AH9" s="20" t="s">
        <v>184</v>
      </c>
      <c r="AI9" s="25" t="str">
        <f>HYPERLINK("mailto:carolina@labsanmartin.com","carolina@labsanmartin.com ")</f>
        <v>carolina@labsanmartin.com </v>
      </c>
      <c r="AJ9" s="20" t="s">
        <v>192</v>
      </c>
      <c r="AK9" s="20" t="s">
        <v>193</v>
      </c>
      <c r="AL9" s="20" t="s">
        <v>194</v>
      </c>
      <c r="AM9" s="29"/>
      <c r="AN9" s="29"/>
      <c r="AO9" s="29"/>
      <c r="AP9" s="29"/>
      <c r="AQ9" s="29"/>
      <c r="AR9" s="29"/>
      <c r="AS9" s="29"/>
      <c r="AT9" s="29"/>
      <c r="AU9" s="29"/>
      <c r="AV9" s="29"/>
      <c r="AW9" s="29"/>
      <c r="AX9" s="29"/>
      <c r="AY9" s="29"/>
      <c r="AZ9" s="29"/>
      <c r="BA9" s="29"/>
      <c r="BB9" s="29"/>
      <c r="BC9" s="29"/>
      <c r="BD9" s="29"/>
      <c r="BE9" s="29"/>
      <c r="BF9" s="29"/>
    </row>
    <row r="10" ht="60.0" customHeight="1">
      <c r="A10" s="20" t="s">
        <v>195</v>
      </c>
      <c r="B10" s="20" t="s">
        <v>196</v>
      </c>
      <c r="C10" s="20" t="s">
        <v>47</v>
      </c>
      <c r="D10" s="21" t="s">
        <v>48</v>
      </c>
      <c r="E10" s="20" t="s">
        <v>49</v>
      </c>
      <c r="F10" s="20" t="s">
        <v>197</v>
      </c>
      <c r="G10" s="20" t="s">
        <v>197</v>
      </c>
      <c r="H10" s="23">
        <v>45190.0</v>
      </c>
      <c r="I10" s="23">
        <f>'17025 SAL'!$H10+$AN$1</f>
        <v>46650</v>
      </c>
      <c r="J10" s="23">
        <v>37571.0</v>
      </c>
      <c r="K10" s="20"/>
      <c r="L10" s="20" t="s">
        <v>198</v>
      </c>
      <c r="M10" s="24" t="s">
        <v>199</v>
      </c>
      <c r="N10" s="26" t="s">
        <v>200</v>
      </c>
      <c r="O10" s="20" t="s">
        <v>201</v>
      </c>
      <c r="P10" s="20"/>
      <c r="Q10" s="20" t="s">
        <v>55</v>
      </c>
      <c r="R10" s="20" t="s">
        <v>202</v>
      </c>
      <c r="S10" s="20" t="s">
        <v>57</v>
      </c>
      <c r="T10" s="20" t="s">
        <v>203</v>
      </c>
      <c r="U10" s="25" t="s">
        <v>204</v>
      </c>
      <c r="V10" s="20" t="s">
        <v>198</v>
      </c>
      <c r="W10" s="39" t="s">
        <v>205</v>
      </c>
      <c r="X10" s="20"/>
      <c r="Y10" s="20" t="s">
        <v>63</v>
      </c>
      <c r="Z10" s="20"/>
      <c r="AA10" s="20" t="s">
        <v>202</v>
      </c>
      <c r="AB10" s="38" t="s">
        <v>199</v>
      </c>
      <c r="AC10" s="20" t="s">
        <v>67</v>
      </c>
      <c r="AD10" s="20" t="s">
        <v>198</v>
      </c>
      <c r="AE10" s="20" t="s">
        <v>206</v>
      </c>
      <c r="AF10" s="20" t="s">
        <v>207</v>
      </c>
      <c r="AG10" s="20" t="s">
        <v>202</v>
      </c>
      <c r="AH10" s="20" t="s">
        <v>208</v>
      </c>
      <c r="AI10" s="25" t="str">
        <f>HYPERLINK("mailto:labechandi@ice.co.cr","labechandi@ice.co.cr")</f>
        <v>labechandi@ice.co.cr</v>
      </c>
      <c r="AJ10" s="20" t="s">
        <v>209</v>
      </c>
      <c r="AK10" s="20" t="s">
        <v>210</v>
      </c>
      <c r="AL10" s="20" t="s">
        <v>211</v>
      </c>
      <c r="AM10" s="29"/>
      <c r="AN10" s="29"/>
      <c r="AO10" s="29"/>
      <c r="AP10" s="29"/>
      <c r="AQ10" s="29"/>
      <c r="AR10" s="29"/>
      <c r="AS10" s="29"/>
      <c r="AT10" s="29"/>
      <c r="AU10" s="29"/>
      <c r="AV10" s="29"/>
      <c r="AW10" s="29"/>
      <c r="AX10" s="29"/>
      <c r="AY10" s="29"/>
      <c r="AZ10" s="29"/>
      <c r="BA10" s="29"/>
      <c r="BB10" s="29"/>
      <c r="BC10" s="29"/>
      <c r="BD10" s="29"/>
      <c r="BE10" s="29"/>
      <c r="BF10" s="29"/>
    </row>
    <row r="11" ht="60.0" customHeight="1">
      <c r="A11" s="40" t="s">
        <v>212</v>
      </c>
      <c r="B11" s="40" t="s">
        <v>134</v>
      </c>
      <c r="C11" s="40" t="s">
        <v>47</v>
      </c>
      <c r="D11" s="41" t="s">
        <v>213</v>
      </c>
      <c r="E11" s="40" t="s">
        <v>96</v>
      </c>
      <c r="F11" s="40" t="s">
        <v>214</v>
      </c>
      <c r="G11" s="20"/>
      <c r="H11" s="23"/>
      <c r="I11" s="23"/>
      <c r="J11" s="23"/>
      <c r="K11" s="20"/>
      <c r="L11" s="40" t="s">
        <v>215</v>
      </c>
      <c r="M11" s="42" t="s">
        <v>216</v>
      </c>
      <c r="N11" s="43" t="s">
        <v>217</v>
      </c>
      <c r="O11" s="40" t="s">
        <v>218</v>
      </c>
      <c r="P11" s="40" t="s">
        <v>219</v>
      </c>
      <c r="Q11" s="40" t="s">
        <v>55</v>
      </c>
      <c r="R11" s="40" t="s">
        <v>220</v>
      </c>
      <c r="S11" s="40" t="s">
        <v>57</v>
      </c>
      <c r="T11" s="40" t="s">
        <v>221</v>
      </c>
      <c r="U11" s="44" t="s">
        <v>222</v>
      </c>
      <c r="V11" s="40" t="s">
        <v>144</v>
      </c>
      <c r="W11" s="40" t="s">
        <v>145</v>
      </c>
      <c r="X11" s="40" t="s">
        <v>62</v>
      </c>
      <c r="Y11" s="45" t="s">
        <v>63</v>
      </c>
      <c r="Z11" s="40" t="s">
        <v>146</v>
      </c>
      <c r="AA11" s="26"/>
      <c r="AB11" s="26"/>
      <c r="AC11" s="20"/>
      <c r="AD11" s="40" t="s">
        <v>223</v>
      </c>
      <c r="AE11" s="40" t="s">
        <v>134</v>
      </c>
      <c r="AF11" s="40" t="s">
        <v>224</v>
      </c>
      <c r="AG11" s="40" t="s">
        <v>225</v>
      </c>
      <c r="AH11" s="40" t="s">
        <v>219</v>
      </c>
      <c r="AI11" s="44" t="s">
        <v>226</v>
      </c>
      <c r="AJ11" s="40" t="s">
        <v>227</v>
      </c>
      <c r="AK11" s="40" t="s">
        <v>153</v>
      </c>
      <c r="AL11" s="40" t="s">
        <v>228</v>
      </c>
      <c r="AM11" s="29"/>
      <c r="AN11" s="29"/>
      <c r="AO11" s="29"/>
      <c r="AP11" s="29"/>
      <c r="AQ11" s="29"/>
      <c r="AR11" s="29"/>
      <c r="AS11" s="29"/>
      <c r="AT11" s="29"/>
      <c r="AU11" s="29"/>
      <c r="AV11" s="29"/>
      <c r="AW11" s="29"/>
      <c r="AX11" s="29"/>
      <c r="AY11" s="29"/>
      <c r="AZ11" s="29"/>
      <c r="BA11" s="29"/>
      <c r="BB11" s="29"/>
      <c r="BC11" s="29"/>
      <c r="BD11" s="29"/>
      <c r="BE11" s="29"/>
      <c r="BF11" s="29"/>
    </row>
    <row r="12" ht="60.0" customHeight="1">
      <c r="A12" s="20" t="s">
        <v>229</v>
      </c>
      <c r="B12" s="20" t="s">
        <v>230</v>
      </c>
      <c r="C12" s="20" t="s">
        <v>231</v>
      </c>
      <c r="D12" s="21" t="s">
        <v>48</v>
      </c>
      <c r="E12" s="20" t="s">
        <v>49</v>
      </c>
      <c r="F12" s="20" t="s">
        <v>232</v>
      </c>
      <c r="G12" s="20" t="s">
        <v>232</v>
      </c>
      <c r="H12" s="23">
        <v>45869.0</v>
      </c>
      <c r="I12" s="30" t="s">
        <v>76</v>
      </c>
      <c r="J12" s="23">
        <v>37718.0</v>
      </c>
      <c r="K12" s="20"/>
      <c r="L12" s="20" t="s">
        <v>233</v>
      </c>
      <c r="M12" s="24" t="s">
        <v>234</v>
      </c>
      <c r="N12" s="24" t="s">
        <v>235</v>
      </c>
      <c r="O12" s="20" t="s">
        <v>236</v>
      </c>
      <c r="P12" s="20" t="s">
        <v>237</v>
      </c>
      <c r="Q12" s="20" t="s">
        <v>55</v>
      </c>
      <c r="R12" s="26" t="s">
        <v>238</v>
      </c>
      <c r="S12" s="20"/>
      <c r="T12" s="25" t="str">
        <f>HYPERLINK("http://www.scmmetrologia.com/Newsite/","3-101-271623 ")</f>
        <v>3-101-271623 </v>
      </c>
      <c r="U12" s="25" t="str">
        <f>HYPERLINK("http://www.scmmetrologia.com/Newsite/","http://www.scmmetrologia.com/Newsite/")</f>
        <v>http://www.scmmetrologia.com/Newsite/</v>
      </c>
      <c r="V12" s="20" t="s">
        <v>239</v>
      </c>
      <c r="W12" s="20" t="s">
        <v>240</v>
      </c>
      <c r="X12" s="20" t="s">
        <v>62</v>
      </c>
      <c r="Y12" s="20" t="s">
        <v>63</v>
      </c>
      <c r="Z12" s="20" t="s">
        <v>241</v>
      </c>
      <c r="AA12" s="20" t="s">
        <v>242</v>
      </c>
      <c r="AB12" s="20"/>
      <c r="AC12" s="20" t="s">
        <v>243</v>
      </c>
      <c r="AD12" s="20" t="s">
        <v>244</v>
      </c>
      <c r="AE12" s="20" t="s">
        <v>245</v>
      </c>
      <c r="AF12" s="20" t="s">
        <v>246</v>
      </c>
      <c r="AG12" s="20" t="s">
        <v>247</v>
      </c>
      <c r="AH12" s="20" t="s">
        <v>248</v>
      </c>
      <c r="AI12" s="25" t="str">
        <f>HYPERLINK("mailto:laura.molina@scmmetrologia.com","laura.molina@scmmetrologia.com")</f>
        <v>laura.molina@scmmetrologia.com</v>
      </c>
      <c r="AJ12" s="20" t="s">
        <v>249</v>
      </c>
      <c r="AK12" s="20" t="s">
        <v>250</v>
      </c>
      <c r="AL12" s="20" t="s">
        <v>251</v>
      </c>
      <c r="AM12" s="29"/>
      <c r="AN12" s="29"/>
      <c r="AO12" s="29"/>
      <c r="AP12" s="29"/>
      <c r="AQ12" s="29"/>
      <c r="AR12" s="29"/>
      <c r="AS12" s="29"/>
      <c r="AT12" s="29"/>
      <c r="AU12" s="29"/>
      <c r="AV12" s="29"/>
      <c r="AW12" s="29"/>
      <c r="AX12" s="29"/>
      <c r="AY12" s="29"/>
      <c r="AZ12" s="29"/>
      <c r="BA12" s="29"/>
      <c r="BB12" s="29"/>
      <c r="BC12" s="29"/>
      <c r="BD12" s="29"/>
      <c r="BE12" s="29"/>
      <c r="BF12" s="29"/>
    </row>
    <row r="13" ht="60.0" customHeight="1">
      <c r="A13" s="20" t="s">
        <v>252</v>
      </c>
      <c r="B13" s="20" t="s">
        <v>253</v>
      </c>
      <c r="C13" s="20" t="s">
        <v>47</v>
      </c>
      <c r="D13" s="21" t="s">
        <v>48</v>
      </c>
      <c r="E13" s="24" t="s">
        <v>157</v>
      </c>
      <c r="F13" s="20" t="s">
        <v>254</v>
      </c>
      <c r="G13" s="20" t="s">
        <v>254</v>
      </c>
      <c r="H13" s="23">
        <v>45552.0</v>
      </c>
      <c r="I13" s="23" t="s">
        <v>76</v>
      </c>
      <c r="J13" s="23">
        <v>37718.0</v>
      </c>
      <c r="K13" s="23"/>
      <c r="L13" s="26" t="s">
        <v>255</v>
      </c>
      <c r="M13" s="24" t="s">
        <v>256</v>
      </c>
      <c r="N13" s="24" t="s">
        <v>257</v>
      </c>
      <c r="O13" s="20" t="s">
        <v>258</v>
      </c>
      <c r="P13" s="20">
        <v>2.2575342E7</v>
      </c>
      <c r="Q13" s="20" t="s">
        <v>55</v>
      </c>
      <c r="R13" s="20" t="s">
        <v>259</v>
      </c>
      <c r="S13" s="20" t="s">
        <v>57</v>
      </c>
      <c r="T13" s="20" t="s">
        <v>260</v>
      </c>
      <c r="U13" s="25" t="s">
        <v>261</v>
      </c>
      <c r="V13" s="20" t="s">
        <v>262</v>
      </c>
      <c r="W13" s="20" t="s">
        <v>263</v>
      </c>
      <c r="X13" s="20"/>
      <c r="Y13" s="20" t="s">
        <v>264</v>
      </c>
      <c r="Z13" s="20" t="s">
        <v>265</v>
      </c>
      <c r="AA13" s="20" t="s">
        <v>259</v>
      </c>
      <c r="AB13" s="20"/>
      <c r="AC13" s="20" t="s">
        <v>266</v>
      </c>
      <c r="AD13" s="20" t="s">
        <v>267</v>
      </c>
      <c r="AE13" s="20" t="s">
        <v>268</v>
      </c>
      <c r="AF13" s="20" t="s">
        <v>258</v>
      </c>
      <c r="AG13" s="20" t="s">
        <v>259</v>
      </c>
      <c r="AH13" s="20" t="s">
        <v>258</v>
      </c>
      <c r="AI13" s="25" t="str">
        <f>HYPERLINK("mailto:jjsolano@ccss.sa.crjpzunigg@ccss.sa.cr","dconejohm@ccss.sa.cr; 
jjsolano@ccss.sa.cr")</f>
        <v>dconejohm@ccss.sa.cr; 
jjsolano@ccss.sa.cr</v>
      </c>
      <c r="AJ13" s="20" t="s">
        <v>269</v>
      </c>
      <c r="AK13" s="20" t="s">
        <v>270</v>
      </c>
      <c r="AL13" s="20"/>
      <c r="AM13" s="29"/>
      <c r="AN13" s="29"/>
      <c r="AO13" s="29"/>
      <c r="AP13" s="29"/>
      <c r="AQ13" s="29"/>
      <c r="AR13" s="29"/>
      <c r="AS13" s="29"/>
      <c r="AT13" s="29"/>
      <c r="AU13" s="29"/>
      <c r="AV13" s="29"/>
      <c r="AW13" s="29"/>
      <c r="AX13" s="29"/>
      <c r="AY13" s="29"/>
      <c r="AZ13" s="29"/>
      <c r="BA13" s="29"/>
      <c r="BB13" s="29"/>
      <c r="BC13" s="29"/>
      <c r="BD13" s="29"/>
      <c r="BE13" s="29"/>
      <c r="BF13" s="29"/>
    </row>
    <row r="14" ht="60.0" customHeight="1">
      <c r="A14" s="20" t="s">
        <v>271</v>
      </c>
      <c r="B14" s="20" t="s">
        <v>272</v>
      </c>
      <c r="C14" s="20" t="s">
        <v>231</v>
      </c>
      <c r="D14" s="21" t="s">
        <v>48</v>
      </c>
      <c r="E14" s="20" t="s">
        <v>49</v>
      </c>
      <c r="F14" s="20" t="s">
        <v>273</v>
      </c>
      <c r="G14" s="20" t="s">
        <v>273</v>
      </c>
      <c r="H14" s="23">
        <v>43843.0</v>
      </c>
      <c r="I14" s="33">
        <f>'17025 SAL'!$H14+$AN$1</f>
        <v>45303</v>
      </c>
      <c r="J14" s="23">
        <v>38334.0</v>
      </c>
      <c r="K14" s="20"/>
      <c r="L14" s="24" t="s">
        <v>274</v>
      </c>
      <c r="M14" s="24" t="s">
        <v>275</v>
      </c>
      <c r="N14" s="26" t="s">
        <v>276</v>
      </c>
      <c r="O14" s="20" t="s">
        <v>277</v>
      </c>
      <c r="P14" s="20" t="s">
        <v>278</v>
      </c>
      <c r="Q14" s="20" t="s">
        <v>55</v>
      </c>
      <c r="R14" s="20" t="s">
        <v>279</v>
      </c>
      <c r="S14" s="20" t="s">
        <v>104</v>
      </c>
      <c r="T14" s="20" t="s">
        <v>280</v>
      </c>
      <c r="U14" s="25" t="str">
        <f>HYPERLINK("http://www.casabalanza.com/","www.casabalanza.com")</f>
        <v>www.casabalanza.com</v>
      </c>
      <c r="V14" s="20" t="s">
        <v>281</v>
      </c>
      <c r="W14" s="20" t="s">
        <v>282</v>
      </c>
      <c r="X14" s="20" t="s">
        <v>62</v>
      </c>
      <c r="Y14" s="20" t="s">
        <v>63</v>
      </c>
      <c r="Z14" s="20" t="s">
        <v>283</v>
      </c>
      <c r="AA14" s="20" t="s">
        <v>284</v>
      </c>
      <c r="AB14" s="20"/>
      <c r="AC14" s="20" t="s">
        <v>285</v>
      </c>
      <c r="AD14" s="20" t="s">
        <v>286</v>
      </c>
      <c r="AE14" s="20" t="s">
        <v>287</v>
      </c>
      <c r="AF14" s="20" t="s">
        <v>288</v>
      </c>
      <c r="AG14" s="20" t="s">
        <v>284</v>
      </c>
      <c r="AH14" s="20" t="s">
        <v>278</v>
      </c>
      <c r="AI14" s="25" t="str">
        <f>HYPERLINK("mailto:gvargas@casabalanza.com","gvargas@casabalanza.com")</f>
        <v>gvargas@casabalanza.com</v>
      </c>
      <c r="AJ14" s="20" t="s">
        <v>289</v>
      </c>
      <c r="AK14" s="20" t="s">
        <v>271</v>
      </c>
      <c r="AL14" s="20" t="s">
        <v>290</v>
      </c>
      <c r="AM14" s="29"/>
      <c r="AN14" s="29"/>
      <c r="AO14" s="29"/>
      <c r="AP14" s="29"/>
      <c r="AQ14" s="29"/>
      <c r="AR14" s="29"/>
      <c r="AS14" s="29"/>
      <c r="AT14" s="29"/>
      <c r="AU14" s="29"/>
      <c r="AV14" s="29"/>
      <c r="AW14" s="29"/>
      <c r="AX14" s="29"/>
      <c r="AY14" s="29"/>
      <c r="AZ14" s="29"/>
      <c r="BA14" s="29"/>
      <c r="BB14" s="29"/>
      <c r="BC14" s="29"/>
      <c r="BD14" s="29"/>
      <c r="BE14" s="29"/>
      <c r="BF14" s="29"/>
    </row>
    <row r="15" ht="60.0" customHeight="1">
      <c r="A15" s="20" t="s">
        <v>291</v>
      </c>
      <c r="B15" s="20" t="s">
        <v>292</v>
      </c>
      <c r="C15" s="20" t="s">
        <v>47</v>
      </c>
      <c r="D15" s="21" t="s">
        <v>48</v>
      </c>
      <c r="E15" s="20" t="s">
        <v>49</v>
      </c>
      <c r="F15" s="20" t="s">
        <v>293</v>
      </c>
      <c r="G15" s="20" t="s">
        <v>294</v>
      </c>
      <c r="H15" s="22">
        <v>45378.0</v>
      </c>
      <c r="I15" s="23">
        <f>'17025 SAL'!$H15+$AN$1</f>
        <v>46838</v>
      </c>
      <c r="J15" s="23">
        <v>38590.0</v>
      </c>
      <c r="K15" s="20" t="s">
        <v>295</v>
      </c>
      <c r="L15" s="20" t="s">
        <v>296</v>
      </c>
      <c r="M15" s="24" t="s">
        <v>297</v>
      </c>
      <c r="N15" s="31" t="s">
        <v>298</v>
      </c>
      <c r="O15" s="20" t="s">
        <v>299</v>
      </c>
      <c r="P15" s="20" t="s">
        <v>300</v>
      </c>
      <c r="Q15" s="20" t="s">
        <v>55</v>
      </c>
      <c r="R15" s="20" t="s">
        <v>301</v>
      </c>
      <c r="S15" s="20" t="s">
        <v>121</v>
      </c>
      <c r="T15" s="20" t="s">
        <v>302</v>
      </c>
      <c r="U15" s="25" t="str">
        <f>HYPERLINK("http://www.vieto.com/","www.vieto.com")</f>
        <v>www.vieto.com</v>
      </c>
      <c r="V15" s="20" t="s">
        <v>296</v>
      </c>
      <c r="W15" s="20" t="s">
        <v>303</v>
      </c>
      <c r="X15" s="20" t="s">
        <v>304</v>
      </c>
      <c r="Y15" s="20" t="s">
        <v>63</v>
      </c>
      <c r="Z15" s="20" t="s">
        <v>305</v>
      </c>
      <c r="AA15" s="25" t="str">
        <f>HYPERLINK("mailto:susy.vieto@vieto.com","susy.vieto@vieto.com
calidad@vieto.com")</f>
        <v>susy.vieto@vieto.com
calidad@vieto.com</v>
      </c>
      <c r="AB15" s="25"/>
      <c r="AC15" s="20" t="s">
        <v>306</v>
      </c>
      <c r="AD15" s="20" t="s">
        <v>307</v>
      </c>
      <c r="AE15" s="20" t="s">
        <v>291</v>
      </c>
      <c r="AF15" s="20" t="s">
        <v>308</v>
      </c>
      <c r="AG15" s="20" t="s">
        <v>301</v>
      </c>
      <c r="AH15" s="20" t="s">
        <v>300</v>
      </c>
      <c r="AI15" s="25" t="str">
        <f>HYPERLINK("mailto:contabilidad@vieto.com","contabilidad@vieto.com")</f>
        <v>contabilidad@vieto.com</v>
      </c>
      <c r="AJ15" s="20" t="s">
        <v>309</v>
      </c>
      <c r="AK15" s="20" t="s">
        <v>310</v>
      </c>
      <c r="AL15" s="20" t="s">
        <v>311</v>
      </c>
      <c r="AM15" s="16"/>
      <c r="AN15" s="16"/>
      <c r="AO15" s="16"/>
      <c r="AP15" s="16"/>
      <c r="AQ15" s="16"/>
      <c r="AR15" s="16"/>
      <c r="AS15" s="16"/>
      <c r="AT15" s="16"/>
      <c r="AU15" s="16"/>
      <c r="AV15" s="16"/>
      <c r="AW15" s="16"/>
      <c r="AX15" s="16"/>
      <c r="AY15" s="16"/>
      <c r="AZ15" s="16"/>
      <c r="BA15" s="16"/>
      <c r="BB15" s="16"/>
      <c r="BC15" s="16"/>
      <c r="BD15" s="16"/>
      <c r="BE15" s="16"/>
      <c r="BF15" s="16"/>
    </row>
    <row r="16" ht="60.0" customHeight="1">
      <c r="A16" s="20" t="s">
        <v>312</v>
      </c>
      <c r="B16" s="20" t="s">
        <v>313</v>
      </c>
      <c r="C16" s="20" t="s">
        <v>47</v>
      </c>
      <c r="D16" s="21" t="s">
        <v>314</v>
      </c>
      <c r="E16" s="20" t="s">
        <v>49</v>
      </c>
      <c r="F16" s="20" t="s">
        <v>315</v>
      </c>
      <c r="G16" s="20" t="s">
        <v>316</v>
      </c>
      <c r="H16" s="23">
        <v>45411.0</v>
      </c>
      <c r="I16" s="23">
        <f>'17025 SAL'!$H16+$AN$1</f>
        <v>46871</v>
      </c>
      <c r="J16" s="23">
        <v>38635.0</v>
      </c>
      <c r="K16" s="20" t="s">
        <v>317</v>
      </c>
      <c r="L16" s="20" t="s">
        <v>318</v>
      </c>
      <c r="M16" s="26" t="s">
        <v>319</v>
      </c>
      <c r="N16" s="34" t="s">
        <v>320</v>
      </c>
      <c r="O16" s="46" t="s">
        <v>321</v>
      </c>
      <c r="P16" s="20"/>
      <c r="Q16" s="20" t="s">
        <v>55</v>
      </c>
      <c r="R16" s="26" t="s">
        <v>322</v>
      </c>
      <c r="S16" s="20" t="s">
        <v>57</v>
      </c>
      <c r="T16" s="20" t="s">
        <v>323</v>
      </c>
      <c r="U16" s="20" t="s">
        <v>324</v>
      </c>
      <c r="V16" s="20" t="s">
        <v>325</v>
      </c>
      <c r="W16" s="46">
        <v>9.0093088E8</v>
      </c>
      <c r="X16" s="20" t="s">
        <v>326</v>
      </c>
      <c r="Y16" s="20" t="s">
        <v>63</v>
      </c>
      <c r="Z16" s="20" t="s">
        <v>327</v>
      </c>
      <c r="AA16" s="26" t="s">
        <v>328</v>
      </c>
      <c r="AB16" s="26"/>
      <c r="AC16" s="20" t="s">
        <v>67</v>
      </c>
      <c r="AD16" s="20" t="s">
        <v>329</v>
      </c>
      <c r="AE16" s="20" t="s">
        <v>312</v>
      </c>
      <c r="AF16" s="47" t="s">
        <v>330</v>
      </c>
      <c r="AG16" s="26" t="s">
        <v>331</v>
      </c>
      <c r="AH16" s="47" t="s">
        <v>330</v>
      </c>
      <c r="AI16" s="25" t="str">
        <f>HYPERLINK("mailto:ana.angulo@agrotec.net","ana.angulo@agrotec.net")</f>
        <v>ana.angulo@agrotec.net</v>
      </c>
      <c r="AJ16" s="20" t="s">
        <v>332</v>
      </c>
      <c r="AK16" s="20" t="s">
        <v>333</v>
      </c>
      <c r="AL16" s="20" t="s">
        <v>334</v>
      </c>
      <c r="AM16" s="29"/>
      <c r="AN16" s="29"/>
      <c r="AO16" s="29"/>
      <c r="AP16" s="29"/>
      <c r="AQ16" s="29"/>
      <c r="AR16" s="29"/>
      <c r="AS16" s="29"/>
      <c r="AT16" s="29"/>
      <c r="AU16" s="29"/>
      <c r="AV16" s="29"/>
      <c r="AW16" s="29"/>
      <c r="AX16" s="29"/>
      <c r="AY16" s="29"/>
      <c r="AZ16" s="29"/>
      <c r="BA16" s="29"/>
      <c r="BB16" s="29"/>
      <c r="BC16" s="29"/>
      <c r="BD16" s="29"/>
      <c r="BE16" s="29"/>
      <c r="BF16" s="29"/>
    </row>
    <row r="17" ht="60.0" customHeight="1">
      <c r="A17" s="20" t="s">
        <v>335</v>
      </c>
      <c r="B17" s="20"/>
      <c r="C17" s="20" t="s">
        <v>47</v>
      </c>
      <c r="D17" s="21" t="s">
        <v>213</v>
      </c>
      <c r="E17" s="20" t="s">
        <v>49</v>
      </c>
      <c r="F17" s="20" t="s">
        <v>336</v>
      </c>
      <c r="G17" s="20" t="s">
        <v>337</v>
      </c>
      <c r="H17" s="20"/>
      <c r="I17" s="23">
        <f>'17025 SAL'!$H17+$AN$1</f>
        <v>1460</v>
      </c>
      <c r="J17" s="23">
        <v>38516.0</v>
      </c>
      <c r="K17" s="20"/>
      <c r="L17" s="20" t="s">
        <v>338</v>
      </c>
      <c r="M17" s="26" t="s">
        <v>339</v>
      </c>
      <c r="N17" s="48"/>
      <c r="O17" s="20" t="s">
        <v>340</v>
      </c>
      <c r="P17" s="20" t="s">
        <v>341</v>
      </c>
      <c r="Q17" s="20" t="s">
        <v>55</v>
      </c>
      <c r="R17" s="20" t="s">
        <v>342</v>
      </c>
      <c r="S17" s="20" t="s">
        <v>57</v>
      </c>
      <c r="T17" s="20" t="s">
        <v>343</v>
      </c>
      <c r="U17" s="25" t="str">
        <f>HYPERLINK("http://www.laboratoriospaez.com/","www.laboratoriospaez.com")</f>
        <v>www.laboratoriospaez.com</v>
      </c>
      <c r="V17" s="20" t="s">
        <v>344</v>
      </c>
      <c r="W17" s="20" t="s">
        <v>345</v>
      </c>
      <c r="X17" s="20" t="s">
        <v>346</v>
      </c>
      <c r="Y17" s="20" t="s">
        <v>63</v>
      </c>
      <c r="Z17" s="20" t="s">
        <v>188</v>
      </c>
      <c r="AA17" s="20" t="s">
        <v>342</v>
      </c>
      <c r="AB17" s="20"/>
      <c r="AC17" s="20" t="s">
        <v>347</v>
      </c>
      <c r="AD17" s="20" t="s">
        <v>348</v>
      </c>
      <c r="AE17" s="20" t="s">
        <v>349</v>
      </c>
      <c r="AF17" s="20" t="s">
        <v>350</v>
      </c>
      <c r="AG17" s="20" t="s">
        <v>342</v>
      </c>
      <c r="AH17" s="20" t="s">
        <v>341</v>
      </c>
      <c r="AI17" s="25" t="str">
        <f>HYPERLINK("mailto:Jsan@laboratoriospaez.com;","Jsan@laboratoriospaez.com;")</f>
        <v>Jsan@laboratoriospaez.com;</v>
      </c>
      <c r="AJ17" s="20" t="s">
        <v>351</v>
      </c>
      <c r="AK17" s="20" t="s">
        <v>352</v>
      </c>
      <c r="AL17" s="20" t="s">
        <v>353</v>
      </c>
      <c r="AM17" s="29"/>
      <c r="AN17" s="29"/>
      <c r="AO17" s="29"/>
      <c r="AP17" s="29"/>
      <c r="AQ17" s="29"/>
      <c r="AR17" s="29"/>
      <c r="AS17" s="29"/>
      <c r="AT17" s="29"/>
      <c r="AU17" s="29"/>
      <c r="AV17" s="29"/>
      <c r="AW17" s="29"/>
      <c r="AX17" s="29"/>
      <c r="AY17" s="29"/>
      <c r="AZ17" s="29"/>
      <c r="BA17" s="29"/>
      <c r="BB17" s="29"/>
      <c r="BC17" s="29"/>
      <c r="BD17" s="29"/>
      <c r="BE17" s="29"/>
      <c r="BF17" s="29"/>
    </row>
    <row r="18" ht="60.0" customHeight="1">
      <c r="A18" s="20" t="s">
        <v>354</v>
      </c>
      <c r="B18" s="20" t="s">
        <v>355</v>
      </c>
      <c r="C18" s="20" t="s">
        <v>47</v>
      </c>
      <c r="D18" s="21" t="s">
        <v>213</v>
      </c>
      <c r="E18" s="20" t="s">
        <v>157</v>
      </c>
      <c r="F18" s="20" t="s">
        <v>316</v>
      </c>
      <c r="G18" s="20" t="s">
        <v>293</v>
      </c>
      <c r="H18" s="20"/>
      <c r="I18" s="23">
        <f>'17025 SAL'!$H18+$AN$1</f>
        <v>1460</v>
      </c>
      <c r="J18" s="23">
        <v>38635.0</v>
      </c>
      <c r="K18" s="20"/>
      <c r="L18" s="20" t="s">
        <v>356</v>
      </c>
      <c r="M18" s="26" t="s">
        <v>357</v>
      </c>
      <c r="N18" s="20"/>
      <c r="O18" s="20" t="s">
        <v>358</v>
      </c>
      <c r="P18" s="20" t="s">
        <v>359</v>
      </c>
      <c r="Q18" s="20" t="s">
        <v>55</v>
      </c>
      <c r="R18" s="20" t="s">
        <v>360</v>
      </c>
      <c r="S18" s="20"/>
      <c r="T18" s="20"/>
      <c r="U18" s="20"/>
      <c r="V18" s="20"/>
      <c r="W18" s="20"/>
      <c r="X18" s="20"/>
      <c r="Y18" s="20"/>
      <c r="Z18" s="20"/>
      <c r="AA18" s="20"/>
      <c r="AB18" s="20"/>
      <c r="AC18" s="20"/>
      <c r="AD18" s="20"/>
      <c r="AE18" s="20"/>
      <c r="AF18" s="20"/>
      <c r="AG18" s="20"/>
      <c r="AH18" s="20"/>
      <c r="AI18" s="20"/>
      <c r="AJ18" s="20"/>
      <c r="AK18" s="20" t="s">
        <v>361</v>
      </c>
      <c r="AL18" s="20"/>
      <c r="AM18" s="29"/>
      <c r="AN18" s="29"/>
      <c r="AO18" s="29"/>
      <c r="AP18" s="29"/>
      <c r="AQ18" s="29"/>
      <c r="AR18" s="29"/>
      <c r="AS18" s="29"/>
      <c r="AT18" s="29"/>
      <c r="AU18" s="29"/>
      <c r="AV18" s="29"/>
      <c r="AW18" s="29"/>
      <c r="AX18" s="29"/>
      <c r="AY18" s="29"/>
      <c r="AZ18" s="29"/>
      <c r="BA18" s="29"/>
      <c r="BB18" s="29"/>
      <c r="BC18" s="29"/>
      <c r="BD18" s="29"/>
      <c r="BE18" s="29"/>
      <c r="BF18" s="29"/>
    </row>
    <row r="19" ht="60.0" customHeight="1">
      <c r="A19" s="20" t="s">
        <v>362</v>
      </c>
      <c r="B19" s="20" t="s">
        <v>134</v>
      </c>
      <c r="C19" s="20" t="s">
        <v>47</v>
      </c>
      <c r="D19" s="21" t="s">
        <v>48</v>
      </c>
      <c r="E19" s="20" t="s">
        <v>96</v>
      </c>
      <c r="F19" s="20" t="s">
        <v>363</v>
      </c>
      <c r="G19" s="20" t="s">
        <v>336</v>
      </c>
      <c r="H19" s="23">
        <v>45147.0</v>
      </c>
      <c r="I19" s="23">
        <f>'17025 SAL'!$H19+$AN$1</f>
        <v>46607</v>
      </c>
      <c r="J19" s="23">
        <v>38635.0</v>
      </c>
      <c r="K19" s="20"/>
      <c r="L19" s="20" t="s">
        <v>364</v>
      </c>
      <c r="M19" s="26" t="s">
        <v>365</v>
      </c>
      <c r="N19" s="26" t="s">
        <v>366</v>
      </c>
      <c r="O19" s="20" t="s">
        <v>367</v>
      </c>
      <c r="P19" s="20" t="s">
        <v>368</v>
      </c>
      <c r="Q19" s="20" t="s">
        <v>55</v>
      </c>
      <c r="R19" s="26" t="s">
        <v>369</v>
      </c>
      <c r="S19" s="20" t="s">
        <v>57</v>
      </c>
      <c r="T19" s="20" t="s">
        <v>221</v>
      </c>
      <c r="U19" s="25" t="str">
        <f>HYPERLINK("http://www.cigras.ucr.ac.cr/;","http://www.cigras.ucr.ac.cr/;")</f>
        <v>http://www.cigras.ucr.ac.cr/;</v>
      </c>
      <c r="V19" s="20" t="s">
        <v>144</v>
      </c>
      <c r="W19" s="20" t="s">
        <v>145</v>
      </c>
      <c r="X19" s="20" t="s">
        <v>62</v>
      </c>
      <c r="Y19" s="26" t="s">
        <v>63</v>
      </c>
      <c r="Z19" s="20" t="s">
        <v>370</v>
      </c>
      <c r="AA19" s="26" t="s">
        <v>369</v>
      </c>
      <c r="AB19" s="26" t="s">
        <v>371</v>
      </c>
      <c r="AC19" s="20" t="s">
        <v>148</v>
      </c>
      <c r="AD19" s="20" t="s">
        <v>372</v>
      </c>
      <c r="AE19" s="20" t="s">
        <v>373</v>
      </c>
      <c r="AF19" s="20" t="s">
        <v>374</v>
      </c>
      <c r="AG19" s="26" t="s">
        <v>369</v>
      </c>
      <c r="AH19" s="20" t="s">
        <v>324</v>
      </c>
      <c r="AI19" s="25" t="str">
        <f>HYPERLINK("mailto:armando.alvarado@ucr.ac.cr","armando.alvarado@ucr.ac.cr")</f>
        <v>armando.alvarado@ucr.ac.cr</v>
      </c>
      <c r="AJ19" s="20" t="s">
        <v>375</v>
      </c>
      <c r="AK19" s="20" t="s">
        <v>153</v>
      </c>
      <c r="AL19" s="20"/>
      <c r="AM19" s="29"/>
      <c r="AN19" s="29"/>
      <c r="AO19" s="29"/>
      <c r="AP19" s="29"/>
      <c r="AQ19" s="29"/>
      <c r="AR19" s="29"/>
      <c r="AS19" s="29"/>
      <c r="AT19" s="29"/>
      <c r="AU19" s="29"/>
      <c r="AV19" s="29"/>
      <c r="AW19" s="29"/>
      <c r="AX19" s="29"/>
      <c r="AY19" s="29"/>
      <c r="AZ19" s="29"/>
      <c r="BA19" s="29"/>
      <c r="BB19" s="29"/>
      <c r="BC19" s="29"/>
      <c r="BD19" s="29"/>
      <c r="BE19" s="29"/>
      <c r="BF19" s="29"/>
    </row>
    <row r="20" ht="60.0" customHeight="1">
      <c r="A20" s="20" t="s">
        <v>376</v>
      </c>
      <c r="B20" s="20" t="s">
        <v>377</v>
      </c>
      <c r="C20" s="20" t="s">
        <v>47</v>
      </c>
      <c r="D20" s="21" t="s">
        <v>48</v>
      </c>
      <c r="E20" s="20" t="s">
        <v>96</v>
      </c>
      <c r="F20" s="20" t="s">
        <v>378</v>
      </c>
      <c r="G20" s="20" t="s">
        <v>379</v>
      </c>
      <c r="H20" s="23">
        <v>45681.0</v>
      </c>
      <c r="I20" s="23" t="s">
        <v>76</v>
      </c>
      <c r="J20" s="23">
        <v>38635.0</v>
      </c>
      <c r="K20" s="20"/>
      <c r="L20" s="20" t="s">
        <v>380</v>
      </c>
      <c r="M20" s="26" t="s">
        <v>381</v>
      </c>
      <c r="N20" s="26" t="s">
        <v>382</v>
      </c>
      <c r="O20" s="20" t="s">
        <v>383</v>
      </c>
      <c r="P20" s="20" t="s">
        <v>384</v>
      </c>
      <c r="Q20" s="20" t="s">
        <v>55</v>
      </c>
      <c r="R20" s="26" t="s">
        <v>385</v>
      </c>
      <c r="S20" s="26" t="s">
        <v>121</v>
      </c>
      <c r="T20" s="20" t="s">
        <v>386</v>
      </c>
      <c r="U20" s="25" t="s">
        <v>387</v>
      </c>
      <c r="V20" s="24" t="s">
        <v>388</v>
      </c>
      <c r="W20" s="24">
        <v>2.05330454E8</v>
      </c>
      <c r="X20" s="20" t="s">
        <v>326</v>
      </c>
      <c r="Y20" s="20" t="s">
        <v>63</v>
      </c>
      <c r="Z20" s="26" t="s">
        <v>389</v>
      </c>
      <c r="AA20" s="26" t="s">
        <v>390</v>
      </c>
      <c r="AB20" s="20" t="s">
        <v>391</v>
      </c>
      <c r="AC20" s="26" t="s">
        <v>392</v>
      </c>
      <c r="AD20" s="20" t="s">
        <v>393</v>
      </c>
      <c r="AE20" s="20" t="s">
        <v>394</v>
      </c>
      <c r="AF20" s="20" t="s">
        <v>395</v>
      </c>
      <c r="AG20" s="26" t="s">
        <v>390</v>
      </c>
      <c r="AH20" s="20" t="s">
        <v>395</v>
      </c>
      <c r="AI20" s="25" t="s">
        <v>396</v>
      </c>
      <c r="AJ20" s="20" t="s">
        <v>397</v>
      </c>
      <c r="AK20" s="20" t="s">
        <v>398</v>
      </c>
      <c r="AL20" s="26" t="s">
        <v>399</v>
      </c>
      <c r="AM20" s="29"/>
      <c r="AN20" s="29"/>
      <c r="AO20" s="29"/>
      <c r="AP20" s="29"/>
      <c r="AQ20" s="29"/>
      <c r="AR20" s="29"/>
      <c r="AS20" s="29"/>
      <c r="AT20" s="29"/>
      <c r="AU20" s="29"/>
      <c r="AV20" s="29"/>
      <c r="AW20" s="29"/>
      <c r="AX20" s="29"/>
      <c r="AY20" s="29"/>
      <c r="AZ20" s="29"/>
      <c r="BA20" s="29"/>
      <c r="BB20" s="29"/>
      <c r="BC20" s="29"/>
      <c r="BD20" s="29"/>
      <c r="BE20" s="29"/>
      <c r="BF20" s="29"/>
    </row>
    <row r="21" ht="60.0" customHeight="1">
      <c r="A21" s="20" t="s">
        <v>400</v>
      </c>
      <c r="B21" s="20" t="s">
        <v>401</v>
      </c>
      <c r="C21" s="20" t="s">
        <v>47</v>
      </c>
      <c r="D21" s="21" t="s">
        <v>48</v>
      </c>
      <c r="E21" s="20" t="s">
        <v>49</v>
      </c>
      <c r="F21" s="20" t="s">
        <v>402</v>
      </c>
      <c r="G21" s="20" t="s">
        <v>363</v>
      </c>
      <c r="H21" s="23">
        <v>45099.0</v>
      </c>
      <c r="I21" s="23">
        <f>'17025 SAL'!$H21+$AN$1</f>
        <v>46559</v>
      </c>
      <c r="J21" s="23">
        <v>38853.0</v>
      </c>
      <c r="K21" s="20"/>
      <c r="L21" s="26" t="s">
        <v>403</v>
      </c>
      <c r="M21" s="24" t="s">
        <v>404</v>
      </c>
      <c r="N21" s="24" t="s">
        <v>405</v>
      </c>
      <c r="O21" s="20" t="s">
        <v>406</v>
      </c>
      <c r="P21" s="20" t="s">
        <v>407</v>
      </c>
      <c r="Q21" s="20" t="s">
        <v>55</v>
      </c>
      <c r="R21" s="20" t="s">
        <v>408</v>
      </c>
      <c r="S21" s="26" t="s">
        <v>121</v>
      </c>
      <c r="T21" s="20" t="s">
        <v>409</v>
      </c>
      <c r="U21" s="25" t="str">
        <f>HYPERLINK("mailto:info@cacisa.cr","info@cacisa.cr")</f>
        <v>info@cacisa.cr</v>
      </c>
      <c r="V21" s="20" t="s">
        <v>410</v>
      </c>
      <c r="W21" s="20">
        <v>9.00460935E8</v>
      </c>
      <c r="X21" s="20" t="s">
        <v>62</v>
      </c>
      <c r="Y21" s="20" t="s">
        <v>63</v>
      </c>
      <c r="Z21" s="20" t="s">
        <v>411</v>
      </c>
      <c r="AA21" s="20" t="s">
        <v>412</v>
      </c>
      <c r="AB21" s="20"/>
      <c r="AC21" s="20" t="s">
        <v>413</v>
      </c>
      <c r="AD21" s="49" t="s">
        <v>414</v>
      </c>
      <c r="AE21" s="20" t="s">
        <v>415</v>
      </c>
      <c r="AF21" s="20" t="s">
        <v>406</v>
      </c>
      <c r="AG21" s="20" t="s">
        <v>412</v>
      </c>
      <c r="AH21" s="20" t="s">
        <v>407</v>
      </c>
      <c r="AI21" s="25" t="str">
        <f>HYPERLINK("mailto:cmontero@cacisa.cr","cmontero@cacisa.cr")</f>
        <v>cmontero@cacisa.cr</v>
      </c>
      <c r="AJ21" s="20" t="s">
        <v>416</v>
      </c>
      <c r="AK21" s="20" t="s">
        <v>417</v>
      </c>
      <c r="AL21" s="20"/>
      <c r="AM21" s="29"/>
      <c r="AN21" s="29"/>
      <c r="AO21" s="29"/>
      <c r="AP21" s="29"/>
      <c r="AQ21" s="29"/>
      <c r="AR21" s="29"/>
      <c r="AS21" s="29"/>
      <c r="AT21" s="29"/>
      <c r="AU21" s="29"/>
      <c r="AV21" s="29"/>
      <c r="AW21" s="29"/>
      <c r="AX21" s="29"/>
      <c r="AY21" s="29"/>
      <c r="AZ21" s="29"/>
      <c r="BA21" s="29"/>
      <c r="BB21" s="29"/>
      <c r="BC21" s="29"/>
      <c r="BD21" s="29"/>
      <c r="BE21" s="29"/>
      <c r="BF21" s="29"/>
    </row>
    <row r="22" ht="60.0" customHeight="1">
      <c r="A22" s="20" t="s">
        <v>418</v>
      </c>
      <c r="B22" s="20" t="s">
        <v>134</v>
      </c>
      <c r="C22" s="20" t="s">
        <v>47</v>
      </c>
      <c r="D22" s="21" t="s">
        <v>48</v>
      </c>
      <c r="E22" s="20" t="s">
        <v>96</v>
      </c>
      <c r="F22" s="20" t="s">
        <v>419</v>
      </c>
      <c r="G22" s="20" t="s">
        <v>420</v>
      </c>
      <c r="H22" s="23">
        <v>45147.0</v>
      </c>
      <c r="I22" s="23">
        <f>'17025 SAL'!$H22+$AN$1</f>
        <v>46607</v>
      </c>
      <c r="J22" s="23">
        <v>39125.0</v>
      </c>
      <c r="K22" s="20" t="s">
        <v>421</v>
      </c>
      <c r="L22" s="20" t="s">
        <v>422</v>
      </c>
      <c r="M22" s="24" t="s">
        <v>423</v>
      </c>
      <c r="N22" s="24" t="s">
        <v>424</v>
      </c>
      <c r="O22" s="20" t="s">
        <v>425</v>
      </c>
      <c r="P22" s="20" t="s">
        <v>426</v>
      </c>
      <c r="Q22" s="20" t="s">
        <v>55</v>
      </c>
      <c r="R22" s="20" t="s">
        <v>427</v>
      </c>
      <c r="S22" s="20" t="s">
        <v>57</v>
      </c>
      <c r="T22" s="20" t="s">
        <v>221</v>
      </c>
      <c r="U22" s="25" t="str">
        <f>HYPERLINK("http://www.cina.ucr.ac.cr/","www.cina.ucr.ac.cr ")</f>
        <v>www.cina.ucr.ac.cr </v>
      </c>
      <c r="V22" s="20" t="s">
        <v>144</v>
      </c>
      <c r="W22" s="20" t="s">
        <v>145</v>
      </c>
      <c r="X22" s="20" t="s">
        <v>62</v>
      </c>
      <c r="Y22" s="26" t="s">
        <v>63</v>
      </c>
      <c r="Z22" s="20" t="s">
        <v>428</v>
      </c>
      <c r="AA22" s="20" t="s">
        <v>429</v>
      </c>
      <c r="AB22" s="20"/>
      <c r="AC22" s="20" t="s">
        <v>148</v>
      </c>
      <c r="AD22" s="20" t="s">
        <v>430</v>
      </c>
      <c r="AE22" s="20" t="s">
        <v>134</v>
      </c>
      <c r="AF22" s="20">
        <v>2.5113002E7</v>
      </c>
      <c r="AG22" s="20" t="s">
        <v>431</v>
      </c>
      <c r="AH22" s="20">
        <v>2.2342415E7</v>
      </c>
      <c r="AI22" s="25" t="str">
        <f>HYPERLINK("mailto:jenny.ascencio@ucr.ac.cr","jenny.ascencio@ucr.ac.cr ")</f>
        <v>jenny.ascencio@ucr.ac.cr </v>
      </c>
      <c r="AJ22" s="20" t="s">
        <v>432</v>
      </c>
      <c r="AK22" s="20" t="s">
        <v>153</v>
      </c>
      <c r="AL22" s="20" t="s">
        <v>433</v>
      </c>
      <c r="AM22" s="16"/>
      <c r="AN22" s="16"/>
      <c r="AO22" s="16"/>
      <c r="AP22" s="16"/>
      <c r="AQ22" s="16"/>
      <c r="AR22" s="16"/>
      <c r="AS22" s="16"/>
      <c r="AT22" s="16"/>
      <c r="AU22" s="16"/>
      <c r="AV22" s="16"/>
      <c r="AW22" s="16"/>
      <c r="AX22" s="16"/>
      <c r="AY22" s="16"/>
      <c r="AZ22" s="16"/>
      <c r="BA22" s="16"/>
      <c r="BB22" s="16"/>
      <c r="BC22" s="16"/>
      <c r="BD22" s="16"/>
      <c r="BE22" s="16"/>
      <c r="BF22" s="16"/>
    </row>
    <row r="23" ht="60.0" customHeight="1">
      <c r="A23" s="20" t="s">
        <v>434</v>
      </c>
      <c r="B23" s="20" t="s">
        <v>134</v>
      </c>
      <c r="C23" s="20" t="s">
        <v>47</v>
      </c>
      <c r="D23" s="21" t="s">
        <v>48</v>
      </c>
      <c r="E23" s="20" t="s">
        <v>96</v>
      </c>
      <c r="F23" s="20" t="s">
        <v>435</v>
      </c>
      <c r="G23" s="20" t="s">
        <v>419</v>
      </c>
      <c r="H23" s="23">
        <v>45147.0</v>
      </c>
      <c r="I23" s="23">
        <f>'17025 SAL'!$H23+$AN$1</f>
        <v>46607</v>
      </c>
      <c r="J23" s="23">
        <v>38880.0</v>
      </c>
      <c r="K23" s="20"/>
      <c r="L23" s="20" t="s">
        <v>436</v>
      </c>
      <c r="M23" s="26" t="s">
        <v>437</v>
      </c>
      <c r="N23" s="26" t="s">
        <v>438</v>
      </c>
      <c r="O23" s="20" t="s">
        <v>439</v>
      </c>
      <c r="P23" s="20" t="s">
        <v>440</v>
      </c>
      <c r="Q23" s="20" t="s">
        <v>55</v>
      </c>
      <c r="R23" s="20" t="s">
        <v>441</v>
      </c>
      <c r="S23" s="20" t="s">
        <v>57</v>
      </c>
      <c r="T23" s="20">
        <v>3.006101757E9</v>
      </c>
      <c r="U23" s="25" t="str">
        <f>HYPERLINK("http://www.cia.ucr.ac.cr/","www.cia.ucr.ac.cr ")</f>
        <v>www.cia.ucr.ac.cr </v>
      </c>
      <c r="V23" s="20" t="s">
        <v>144</v>
      </c>
      <c r="W23" s="20" t="s">
        <v>145</v>
      </c>
      <c r="X23" s="20" t="s">
        <v>62</v>
      </c>
      <c r="Y23" s="26" t="s">
        <v>63</v>
      </c>
      <c r="Z23" s="20" t="s">
        <v>428</v>
      </c>
      <c r="AA23" s="20" t="s">
        <v>147</v>
      </c>
      <c r="AB23" s="20"/>
      <c r="AC23" s="20" t="s">
        <v>148</v>
      </c>
      <c r="AD23" s="20" t="s">
        <v>442</v>
      </c>
      <c r="AE23" s="20" t="s">
        <v>150</v>
      </c>
      <c r="AF23" s="20" t="s">
        <v>443</v>
      </c>
      <c r="AG23" s="20" t="s">
        <v>444</v>
      </c>
      <c r="AH23" s="20" t="s">
        <v>440</v>
      </c>
      <c r="AI23" s="25" t="str">
        <f>HYPERLINK("mailto:maria.villegas@ucr.ac.cr","maria.villegas@ucr.ac.cr ")</f>
        <v>maria.villegas@ucr.ac.cr </v>
      </c>
      <c r="AJ23" s="20" t="s">
        <v>445</v>
      </c>
      <c r="AK23" s="20" t="s">
        <v>153</v>
      </c>
      <c r="AL23" s="20" t="s">
        <v>446</v>
      </c>
      <c r="AM23" s="29"/>
      <c r="AN23" s="29"/>
      <c r="AO23" s="29"/>
      <c r="AP23" s="29"/>
      <c r="AQ23" s="29"/>
      <c r="AR23" s="29"/>
      <c r="AS23" s="29"/>
      <c r="AT23" s="29"/>
      <c r="AU23" s="29"/>
      <c r="AV23" s="29"/>
      <c r="AW23" s="29"/>
      <c r="AX23" s="29"/>
      <c r="AY23" s="29"/>
      <c r="AZ23" s="29"/>
      <c r="BA23" s="29"/>
      <c r="BB23" s="29"/>
      <c r="BC23" s="29"/>
      <c r="BD23" s="29"/>
      <c r="BE23" s="29"/>
      <c r="BF23" s="29"/>
    </row>
    <row r="24" ht="60.0" customHeight="1">
      <c r="A24" s="20" t="s">
        <v>447</v>
      </c>
      <c r="B24" s="20" t="s">
        <v>447</v>
      </c>
      <c r="C24" s="20" t="s">
        <v>231</v>
      </c>
      <c r="D24" s="21" t="s">
        <v>48</v>
      </c>
      <c r="E24" s="20" t="s">
        <v>49</v>
      </c>
      <c r="F24" s="20" t="s">
        <v>448</v>
      </c>
      <c r="G24" s="20" t="s">
        <v>449</v>
      </c>
      <c r="H24" s="23">
        <v>45859.0</v>
      </c>
      <c r="I24" s="23" t="s">
        <v>76</v>
      </c>
      <c r="J24" s="23">
        <v>38810.0</v>
      </c>
      <c r="K24" s="20"/>
      <c r="L24" s="20" t="s">
        <v>450</v>
      </c>
      <c r="M24" s="24" t="s">
        <v>451</v>
      </c>
      <c r="N24" s="24" t="s">
        <v>452</v>
      </c>
      <c r="O24" s="20" t="s">
        <v>453</v>
      </c>
      <c r="P24" s="20" t="s">
        <v>454</v>
      </c>
      <c r="Q24" s="20" t="s">
        <v>55</v>
      </c>
      <c r="R24" s="20" t="s">
        <v>455</v>
      </c>
      <c r="S24" s="20" t="s">
        <v>57</v>
      </c>
      <c r="T24" s="20" t="s">
        <v>456</v>
      </c>
      <c r="U24" s="25" t="str">
        <f>HYPERLINK("http://www.coprodesa.com/","www.coprodesa.com  ")</f>
        <v>www.coprodesa.com  </v>
      </c>
      <c r="V24" s="20" t="s">
        <v>457</v>
      </c>
      <c r="W24" s="20" t="s">
        <v>458</v>
      </c>
      <c r="X24" s="20" t="s">
        <v>62</v>
      </c>
      <c r="Y24" s="20" t="s">
        <v>63</v>
      </c>
      <c r="Z24" s="20" t="s">
        <v>459</v>
      </c>
      <c r="AA24" s="20" t="s">
        <v>460</v>
      </c>
      <c r="AB24" s="20"/>
      <c r="AC24" s="20" t="s">
        <v>461</v>
      </c>
      <c r="AD24" s="20" t="s">
        <v>462</v>
      </c>
      <c r="AE24" s="20" t="s">
        <v>463</v>
      </c>
      <c r="AF24" s="20" t="s">
        <v>453</v>
      </c>
      <c r="AG24" s="20" t="s">
        <v>460</v>
      </c>
      <c r="AH24" s="20" t="s">
        <v>454</v>
      </c>
      <c r="AI24" s="25" t="str">
        <f>HYPERLINK("mailto:jmejia@coprodesa.com","jmejia@coprodesa.com")</f>
        <v>jmejia@coprodesa.com</v>
      </c>
      <c r="AJ24" s="20" t="s">
        <v>464</v>
      </c>
      <c r="AK24" s="20" t="s">
        <v>447</v>
      </c>
      <c r="AL24" s="20" t="s">
        <v>465</v>
      </c>
      <c r="AM24" s="29"/>
      <c r="AN24" s="29"/>
      <c r="AO24" s="29"/>
      <c r="AP24" s="29"/>
      <c r="AQ24" s="29"/>
      <c r="AR24" s="29"/>
      <c r="AS24" s="29"/>
      <c r="AT24" s="29"/>
      <c r="AU24" s="29"/>
      <c r="AV24" s="29"/>
      <c r="AW24" s="29"/>
      <c r="AX24" s="29"/>
      <c r="AY24" s="29"/>
      <c r="AZ24" s="29"/>
      <c r="BA24" s="29"/>
      <c r="BB24" s="29"/>
      <c r="BC24" s="29"/>
      <c r="BD24" s="29"/>
      <c r="BE24" s="29"/>
      <c r="BF24" s="29"/>
    </row>
    <row r="25" ht="60.0" customHeight="1">
      <c r="A25" s="20" t="s">
        <v>466</v>
      </c>
      <c r="B25" s="20" t="s">
        <v>134</v>
      </c>
      <c r="C25" s="20" t="s">
        <v>47</v>
      </c>
      <c r="D25" s="21" t="s">
        <v>48</v>
      </c>
      <c r="E25" s="20" t="s">
        <v>96</v>
      </c>
      <c r="F25" s="20" t="s">
        <v>467</v>
      </c>
      <c r="G25" s="20" t="s">
        <v>468</v>
      </c>
      <c r="H25" s="23">
        <v>45147.0</v>
      </c>
      <c r="I25" s="23">
        <f>'17025 SAL'!$H25+$AN$1</f>
        <v>46607</v>
      </c>
      <c r="J25" s="23">
        <v>39069.0</v>
      </c>
      <c r="K25" s="20" t="s">
        <v>469</v>
      </c>
      <c r="L25" s="20" t="s">
        <v>470</v>
      </c>
      <c r="M25" s="26" t="s">
        <v>471</v>
      </c>
      <c r="N25" s="24" t="s">
        <v>472</v>
      </c>
      <c r="O25" s="47" t="s">
        <v>473</v>
      </c>
      <c r="P25" s="47" t="s">
        <v>474</v>
      </c>
      <c r="Q25" s="20" t="s">
        <v>55</v>
      </c>
      <c r="R25" s="20" t="s">
        <v>475</v>
      </c>
      <c r="S25" s="20" t="s">
        <v>57</v>
      </c>
      <c r="T25" s="20" t="s">
        <v>221</v>
      </c>
      <c r="U25" s="25" t="str">
        <f>HYPERLINK("http://celeq.ucr.ac.cr/","http://celeq.ucr.ac.cr/ ")</f>
        <v>http://celeq.ucr.ac.cr/ </v>
      </c>
      <c r="V25" s="20" t="s">
        <v>144</v>
      </c>
      <c r="W25" s="20" t="s">
        <v>145</v>
      </c>
      <c r="X25" s="20" t="s">
        <v>62</v>
      </c>
      <c r="Y25" s="26" t="s">
        <v>63</v>
      </c>
      <c r="Z25" s="20" t="s">
        <v>428</v>
      </c>
      <c r="AA25" s="20" t="s">
        <v>147</v>
      </c>
      <c r="AB25" s="20"/>
      <c r="AC25" s="20" t="s">
        <v>148</v>
      </c>
      <c r="AD25" s="20" t="s">
        <v>476</v>
      </c>
      <c r="AE25" s="20" t="s">
        <v>477</v>
      </c>
      <c r="AF25" s="20" t="s">
        <v>478</v>
      </c>
      <c r="AG25" s="20" t="s">
        <v>475</v>
      </c>
      <c r="AH25" s="20" t="s">
        <v>479</v>
      </c>
      <c r="AI25" s="25" t="str">
        <f>HYPERLINK("mailto:mbadillad@hotmail.com","mbadillad@hotmail.com")</f>
        <v>mbadillad@hotmail.com</v>
      </c>
      <c r="AJ25" s="50" t="s">
        <v>480</v>
      </c>
      <c r="AK25" s="20" t="s">
        <v>153</v>
      </c>
      <c r="AL25" s="20" t="s">
        <v>481</v>
      </c>
      <c r="AM25" s="29"/>
      <c r="AN25" s="29"/>
      <c r="AO25" s="29"/>
      <c r="AP25" s="29"/>
      <c r="AQ25" s="29"/>
      <c r="AR25" s="29"/>
      <c r="AS25" s="29"/>
      <c r="AT25" s="29"/>
      <c r="AU25" s="29"/>
      <c r="AV25" s="29"/>
      <c r="AW25" s="29"/>
      <c r="AX25" s="29"/>
      <c r="AY25" s="29"/>
      <c r="AZ25" s="29"/>
      <c r="BA25" s="29"/>
      <c r="BB25" s="29"/>
      <c r="BC25" s="29"/>
      <c r="BD25" s="29"/>
      <c r="BE25" s="29"/>
      <c r="BF25" s="29"/>
    </row>
    <row r="26" ht="60.0" customHeight="1">
      <c r="A26" s="26" t="s">
        <v>482</v>
      </c>
      <c r="B26" s="26" t="s">
        <v>482</v>
      </c>
      <c r="C26" s="26" t="s">
        <v>47</v>
      </c>
      <c r="D26" s="21" t="s">
        <v>213</v>
      </c>
      <c r="E26" s="26" t="s">
        <v>49</v>
      </c>
      <c r="F26" s="26" t="s">
        <v>483</v>
      </c>
      <c r="G26" s="26" t="s">
        <v>484</v>
      </c>
      <c r="H26" s="22">
        <v>44738.0</v>
      </c>
      <c r="I26" s="23">
        <f>'17025 SAL'!$H26+$AN$1</f>
        <v>46198</v>
      </c>
      <c r="J26" s="22">
        <v>40295.0</v>
      </c>
      <c r="K26" s="26"/>
      <c r="L26" s="26" t="s">
        <v>485</v>
      </c>
      <c r="M26" s="24" t="s">
        <v>486</v>
      </c>
      <c r="N26" s="49" t="s">
        <v>487</v>
      </c>
      <c r="O26" s="26" t="s">
        <v>488</v>
      </c>
      <c r="P26" s="26" t="s">
        <v>140</v>
      </c>
      <c r="Q26" s="26" t="s">
        <v>55</v>
      </c>
      <c r="R26" s="26" t="s">
        <v>489</v>
      </c>
      <c r="S26" s="26" t="s">
        <v>490</v>
      </c>
      <c r="T26" s="26" t="s">
        <v>491</v>
      </c>
      <c r="U26" s="26" t="s">
        <v>324</v>
      </c>
      <c r="V26" s="26" t="s">
        <v>492</v>
      </c>
      <c r="W26" s="20">
        <v>1.11120255E8</v>
      </c>
      <c r="X26" s="20" t="s">
        <v>346</v>
      </c>
      <c r="Y26" s="20" t="s">
        <v>264</v>
      </c>
      <c r="Z26" s="20" t="s">
        <v>493</v>
      </c>
      <c r="AA26" s="26" t="s">
        <v>494</v>
      </c>
      <c r="AB26" s="26"/>
      <c r="AC26" s="26"/>
      <c r="AD26" s="26"/>
      <c r="AE26" s="26"/>
      <c r="AF26" s="26"/>
      <c r="AG26" s="26" t="s">
        <v>494</v>
      </c>
      <c r="AH26" s="26"/>
      <c r="AI26" s="26" t="s">
        <v>324</v>
      </c>
      <c r="AJ26" s="26"/>
      <c r="AK26" s="26" t="s">
        <v>495</v>
      </c>
      <c r="AL26" s="26" t="s">
        <v>496</v>
      </c>
      <c r="AM26" s="29"/>
      <c r="AN26" s="29"/>
      <c r="AO26" s="29"/>
      <c r="AP26" s="29"/>
      <c r="AQ26" s="29"/>
      <c r="AR26" s="29"/>
      <c r="AS26" s="29"/>
      <c r="AT26" s="29"/>
      <c r="AU26" s="29"/>
      <c r="AV26" s="29"/>
      <c r="AW26" s="29"/>
      <c r="AX26" s="29"/>
      <c r="AY26" s="29"/>
      <c r="AZ26" s="29"/>
      <c r="BA26" s="29"/>
      <c r="BB26" s="29"/>
      <c r="BC26" s="29"/>
      <c r="BD26" s="29"/>
      <c r="BE26" s="29"/>
      <c r="BF26" s="29"/>
    </row>
    <row r="27" ht="60.0" customHeight="1">
      <c r="A27" s="20" t="s">
        <v>497</v>
      </c>
      <c r="B27" s="20" t="s">
        <v>355</v>
      </c>
      <c r="C27" s="20" t="s">
        <v>231</v>
      </c>
      <c r="D27" s="21" t="s">
        <v>213</v>
      </c>
      <c r="E27" s="24" t="s">
        <v>157</v>
      </c>
      <c r="F27" s="20" t="s">
        <v>498</v>
      </c>
      <c r="G27" s="20" t="s">
        <v>499</v>
      </c>
      <c r="H27" s="23">
        <v>44348.0</v>
      </c>
      <c r="I27" s="23">
        <f>'17025 SAL'!$H27+$AN$1</f>
        <v>45808</v>
      </c>
      <c r="J27" s="23">
        <v>39034.0</v>
      </c>
      <c r="K27" s="20"/>
      <c r="L27" s="20" t="s">
        <v>500</v>
      </c>
      <c r="M27" s="20" t="s">
        <v>501</v>
      </c>
      <c r="N27" s="51" t="s">
        <v>502</v>
      </c>
      <c r="O27" s="20" t="s">
        <v>503</v>
      </c>
      <c r="P27" s="20" t="s">
        <v>324</v>
      </c>
      <c r="Q27" s="20" t="s">
        <v>55</v>
      </c>
      <c r="R27" s="20" t="s">
        <v>504</v>
      </c>
      <c r="S27" s="20" t="s">
        <v>57</v>
      </c>
      <c r="T27" s="52" t="str">
        <f>HYPERLINK("http://www.grupoice.com/","4-000-421-39 ")</f>
        <v>4-000-421-39 </v>
      </c>
      <c r="U27" s="25" t="str">
        <f>HYPERLINK("http://www.grupoice.com/","www.grupoice.com")</f>
        <v>www.grupoice.com</v>
      </c>
      <c r="V27" s="26" t="s">
        <v>505</v>
      </c>
      <c r="W27" s="26" t="s">
        <v>506</v>
      </c>
      <c r="X27" s="26" t="s">
        <v>507</v>
      </c>
      <c r="Y27" s="26" t="s">
        <v>508</v>
      </c>
      <c r="Z27" s="26" t="s">
        <v>509</v>
      </c>
      <c r="AA27" s="26" t="s">
        <v>510</v>
      </c>
      <c r="AB27" s="26"/>
      <c r="AC27" s="20" t="s">
        <v>511</v>
      </c>
      <c r="AD27" s="20" t="s">
        <v>512</v>
      </c>
      <c r="AE27" s="20" t="s">
        <v>497</v>
      </c>
      <c r="AF27" s="20" t="s">
        <v>513</v>
      </c>
      <c r="AG27" s="20" t="s">
        <v>514</v>
      </c>
      <c r="AH27" s="20" t="s">
        <v>515</v>
      </c>
      <c r="AI27" s="32" t="s">
        <v>516</v>
      </c>
      <c r="AJ27" s="20" t="s">
        <v>517</v>
      </c>
      <c r="AK27" s="20" t="s">
        <v>518</v>
      </c>
      <c r="AL27" s="20" t="s">
        <v>519</v>
      </c>
      <c r="AM27" s="29"/>
      <c r="AN27" s="29"/>
      <c r="AO27" s="29"/>
      <c r="AP27" s="29"/>
      <c r="AQ27" s="29"/>
      <c r="AR27" s="29"/>
      <c r="AS27" s="29"/>
      <c r="AT27" s="29"/>
      <c r="AU27" s="29"/>
      <c r="AV27" s="29"/>
      <c r="AW27" s="29"/>
      <c r="AX27" s="29"/>
      <c r="AY27" s="29"/>
      <c r="AZ27" s="29"/>
      <c r="BA27" s="29"/>
      <c r="BB27" s="29"/>
      <c r="BC27" s="29"/>
      <c r="BD27" s="29"/>
      <c r="BE27" s="29"/>
      <c r="BF27" s="29"/>
    </row>
    <row r="28" ht="60.0" customHeight="1">
      <c r="A28" s="20" t="s">
        <v>520</v>
      </c>
      <c r="B28" s="20" t="s">
        <v>355</v>
      </c>
      <c r="C28" s="20" t="s">
        <v>231</v>
      </c>
      <c r="D28" s="21" t="s">
        <v>48</v>
      </c>
      <c r="E28" s="24" t="s">
        <v>157</v>
      </c>
      <c r="F28" s="20" t="s">
        <v>521</v>
      </c>
      <c r="G28" s="20" t="s">
        <v>499</v>
      </c>
      <c r="H28" s="23">
        <v>44022.0</v>
      </c>
      <c r="I28" s="23">
        <f>'17025 SAL'!$H28+$AN$1</f>
        <v>45482</v>
      </c>
      <c r="J28" s="23">
        <v>39034.0</v>
      </c>
      <c r="K28" s="20" t="s">
        <v>522</v>
      </c>
      <c r="L28" s="20" t="s">
        <v>523</v>
      </c>
      <c r="M28" s="24" t="s">
        <v>501</v>
      </c>
      <c r="N28" s="24" t="s">
        <v>524</v>
      </c>
      <c r="O28" s="20" t="s">
        <v>525</v>
      </c>
      <c r="P28" s="20" t="s">
        <v>324</v>
      </c>
      <c r="Q28" s="20" t="s">
        <v>55</v>
      </c>
      <c r="R28" s="20" t="s">
        <v>526</v>
      </c>
      <c r="S28" s="20" t="s">
        <v>57</v>
      </c>
      <c r="T28" s="20">
        <v>4.000042139E9</v>
      </c>
      <c r="U28" s="36" t="s">
        <v>527</v>
      </c>
      <c r="V28" s="37" t="s">
        <v>528</v>
      </c>
      <c r="W28" s="37">
        <v>3.02970039E8</v>
      </c>
      <c r="X28" s="37" t="s">
        <v>529</v>
      </c>
      <c r="Y28" s="37" t="s">
        <v>508</v>
      </c>
      <c r="Z28" s="37" t="s">
        <v>530</v>
      </c>
      <c r="AA28" s="37" t="s">
        <v>531</v>
      </c>
      <c r="AB28" s="36" t="s">
        <v>532</v>
      </c>
      <c r="AC28" s="35" t="s">
        <v>533</v>
      </c>
      <c r="AD28" s="35" t="s">
        <v>534</v>
      </c>
      <c r="AE28" s="35" t="s">
        <v>535</v>
      </c>
      <c r="AF28" s="35" t="s">
        <v>536</v>
      </c>
      <c r="AG28" s="37" t="s">
        <v>531</v>
      </c>
      <c r="AH28" s="35" t="s">
        <v>76</v>
      </c>
      <c r="AI28" s="36" t="s">
        <v>537</v>
      </c>
      <c r="AJ28" s="20" t="s">
        <v>538</v>
      </c>
      <c r="AK28" s="20" t="s">
        <v>518</v>
      </c>
      <c r="AL28" s="20" t="s">
        <v>539</v>
      </c>
      <c r="AM28" s="29"/>
      <c r="AN28" s="29"/>
      <c r="AO28" s="29"/>
      <c r="AP28" s="29"/>
      <c r="AQ28" s="29"/>
      <c r="AR28" s="29"/>
      <c r="AS28" s="29"/>
      <c r="AT28" s="29"/>
      <c r="AU28" s="29"/>
      <c r="AV28" s="29"/>
      <c r="AW28" s="29"/>
      <c r="AX28" s="29"/>
      <c r="AY28" s="29"/>
      <c r="AZ28" s="29"/>
      <c r="BA28" s="29"/>
      <c r="BB28" s="29"/>
      <c r="BC28" s="29"/>
      <c r="BD28" s="29"/>
      <c r="BE28" s="29"/>
      <c r="BF28" s="29"/>
    </row>
    <row r="29" ht="60.0" customHeight="1">
      <c r="A29" s="20" t="s">
        <v>540</v>
      </c>
      <c r="B29" s="20" t="s">
        <v>541</v>
      </c>
      <c r="C29" s="20" t="s">
        <v>47</v>
      </c>
      <c r="D29" s="21" t="s">
        <v>48</v>
      </c>
      <c r="E29" s="20" t="s">
        <v>157</v>
      </c>
      <c r="F29" s="20" t="s">
        <v>542</v>
      </c>
      <c r="G29" s="20" t="s">
        <v>543</v>
      </c>
      <c r="H29" s="23">
        <v>45869.0</v>
      </c>
      <c r="I29" s="23" t="s">
        <v>76</v>
      </c>
      <c r="J29" s="23">
        <v>39307.0</v>
      </c>
      <c r="K29" s="20"/>
      <c r="L29" s="20" t="s">
        <v>544</v>
      </c>
      <c r="M29" s="24" t="s">
        <v>545</v>
      </c>
      <c r="N29" s="25"/>
      <c r="O29" s="20" t="s">
        <v>546</v>
      </c>
      <c r="P29" s="20" t="s">
        <v>547</v>
      </c>
      <c r="Q29" s="20" t="s">
        <v>55</v>
      </c>
      <c r="R29" s="20" t="s">
        <v>548</v>
      </c>
      <c r="S29" s="20" t="s">
        <v>549</v>
      </c>
      <c r="T29" s="20" t="s">
        <v>550</v>
      </c>
      <c r="U29" s="25" t="str">
        <f>HYPERLINK("http://www.laica.co.cr/","www.laica.co.cr")</f>
        <v>www.laica.co.cr</v>
      </c>
      <c r="V29" s="20" t="s">
        <v>551</v>
      </c>
      <c r="W29" s="20" t="s">
        <v>552</v>
      </c>
      <c r="X29" s="20" t="s">
        <v>62</v>
      </c>
      <c r="Y29" s="20" t="s">
        <v>553</v>
      </c>
      <c r="Z29" s="20" t="s">
        <v>554</v>
      </c>
      <c r="AA29" s="20" t="s">
        <v>555</v>
      </c>
      <c r="AB29" s="20"/>
      <c r="AC29" s="20" t="s">
        <v>556</v>
      </c>
      <c r="AD29" s="20" t="s">
        <v>557</v>
      </c>
      <c r="AE29" s="20" t="s">
        <v>558</v>
      </c>
      <c r="AF29" s="20">
        <v>2.2846043E7</v>
      </c>
      <c r="AG29" s="20" t="s">
        <v>555</v>
      </c>
      <c r="AH29" s="20">
        <v>2.6610566E7</v>
      </c>
      <c r="AI29" s="38" t="s">
        <v>559</v>
      </c>
      <c r="AJ29" s="20" t="s">
        <v>560</v>
      </c>
      <c r="AK29" s="20" t="s">
        <v>558</v>
      </c>
      <c r="AL29" s="20" t="s">
        <v>561</v>
      </c>
      <c r="AM29" s="16"/>
      <c r="AN29" s="16"/>
      <c r="AO29" s="16"/>
      <c r="AP29" s="16"/>
      <c r="AQ29" s="16"/>
      <c r="AR29" s="16"/>
      <c r="AS29" s="16"/>
      <c r="AT29" s="16"/>
      <c r="AU29" s="16"/>
      <c r="AV29" s="16"/>
      <c r="AW29" s="16"/>
      <c r="AX29" s="16"/>
      <c r="AY29" s="16"/>
      <c r="AZ29" s="16"/>
      <c r="BA29" s="16"/>
      <c r="BB29" s="16"/>
      <c r="BC29" s="16"/>
      <c r="BD29" s="16"/>
      <c r="BE29" s="16"/>
      <c r="BF29" s="16"/>
    </row>
    <row r="30" ht="60.0" customHeight="1">
      <c r="A30" s="20" t="s">
        <v>562</v>
      </c>
      <c r="B30" s="26" t="s">
        <v>563</v>
      </c>
      <c r="C30" s="20" t="s">
        <v>47</v>
      </c>
      <c r="D30" s="21" t="s">
        <v>48</v>
      </c>
      <c r="E30" s="20" t="s">
        <v>49</v>
      </c>
      <c r="F30" s="20" t="s">
        <v>543</v>
      </c>
      <c r="G30" s="20" t="s">
        <v>483</v>
      </c>
      <c r="H30" s="23">
        <v>45272.0</v>
      </c>
      <c r="I30" s="23">
        <f>'17025 SAL'!$H30+$AN$1</f>
        <v>46732</v>
      </c>
      <c r="J30" s="23">
        <v>39209.0</v>
      </c>
      <c r="K30" s="20"/>
      <c r="L30" s="20" t="s">
        <v>564</v>
      </c>
      <c r="M30" s="26" t="s">
        <v>565</v>
      </c>
      <c r="N30" s="20" t="s">
        <v>566</v>
      </c>
      <c r="O30" s="20" t="s">
        <v>567</v>
      </c>
      <c r="P30" s="20" t="s">
        <v>568</v>
      </c>
      <c r="Q30" s="20" t="s">
        <v>55</v>
      </c>
      <c r="R30" s="20" t="s">
        <v>569</v>
      </c>
      <c r="S30" s="26" t="s">
        <v>121</v>
      </c>
      <c r="T30" s="20" t="s">
        <v>570</v>
      </c>
      <c r="U30" s="49" t="s">
        <v>571</v>
      </c>
      <c r="V30" s="20" t="s">
        <v>572</v>
      </c>
      <c r="W30" s="39">
        <v>1.22201367821E11</v>
      </c>
      <c r="X30" s="20"/>
      <c r="Y30" s="20" t="s">
        <v>573</v>
      </c>
      <c r="Z30" s="20"/>
      <c r="AA30" s="20" t="s">
        <v>569</v>
      </c>
      <c r="AB30" s="20"/>
      <c r="AC30" s="20" t="s">
        <v>574</v>
      </c>
      <c r="AD30" s="20" t="s">
        <v>575</v>
      </c>
      <c r="AE30" s="20" t="s">
        <v>576</v>
      </c>
      <c r="AF30" s="20">
        <v>2.20973E7</v>
      </c>
      <c r="AG30" s="20" t="s">
        <v>569</v>
      </c>
      <c r="AH30" s="20">
        <v>2.2097301E7</v>
      </c>
      <c r="AI30" s="25" t="str">
        <f>HYPERLINK("mailto:alvarezronald@bfcr.co.cr","alvarezronald@bfcr.co.cr")</f>
        <v>alvarezronald@bfcr.co.cr</v>
      </c>
      <c r="AJ30" s="20" t="s">
        <v>577</v>
      </c>
      <c r="AK30" s="20" t="s">
        <v>578</v>
      </c>
      <c r="AL30" s="20"/>
      <c r="AM30" s="16"/>
      <c r="AN30" s="16"/>
      <c r="AO30" s="16"/>
      <c r="AP30" s="16"/>
      <c r="AQ30" s="16"/>
      <c r="AR30" s="16"/>
      <c r="AS30" s="16"/>
      <c r="AT30" s="16"/>
      <c r="AU30" s="16"/>
      <c r="AV30" s="16"/>
      <c r="AW30" s="16"/>
      <c r="AX30" s="16"/>
      <c r="AY30" s="16"/>
      <c r="AZ30" s="16"/>
      <c r="BA30" s="16"/>
      <c r="BB30" s="16"/>
      <c r="BC30" s="16"/>
      <c r="BD30" s="16"/>
      <c r="BE30" s="16"/>
      <c r="BF30" s="16"/>
    </row>
    <row r="31" ht="60.0" customHeight="1">
      <c r="A31" s="20" t="s">
        <v>579</v>
      </c>
      <c r="B31" s="20" t="s">
        <v>134</v>
      </c>
      <c r="C31" s="20" t="s">
        <v>47</v>
      </c>
      <c r="D31" s="21" t="s">
        <v>48</v>
      </c>
      <c r="E31" s="20" t="s">
        <v>96</v>
      </c>
      <c r="F31" s="20" t="s">
        <v>580</v>
      </c>
      <c r="G31" s="20" t="s">
        <v>581</v>
      </c>
      <c r="H31" s="23">
        <v>45147.0</v>
      </c>
      <c r="I31" s="23">
        <f>'17025 SAL'!$H31+$AN$1</f>
        <v>46607</v>
      </c>
      <c r="J31" s="23">
        <v>38971.0</v>
      </c>
      <c r="K31" s="20"/>
      <c r="L31" s="20" t="s">
        <v>582</v>
      </c>
      <c r="M31" s="24" t="s">
        <v>583</v>
      </c>
      <c r="N31" s="38" t="s">
        <v>584</v>
      </c>
      <c r="O31" s="20">
        <v>2.511327E7</v>
      </c>
      <c r="P31" s="20" t="s">
        <v>140</v>
      </c>
      <c r="Q31" s="20" t="s">
        <v>55</v>
      </c>
      <c r="R31" s="53" t="s">
        <v>585</v>
      </c>
      <c r="S31" s="20" t="s">
        <v>57</v>
      </c>
      <c r="T31" s="20" t="s">
        <v>221</v>
      </c>
      <c r="U31" s="25" t="str">
        <f>HYPERLINK("http://www.cita.ucr.ac.cr/","www.cita.ucr.ac.cr")</f>
        <v>www.cita.ucr.ac.cr</v>
      </c>
      <c r="V31" s="20" t="s">
        <v>144</v>
      </c>
      <c r="W31" s="20" t="s">
        <v>145</v>
      </c>
      <c r="X31" s="20" t="s">
        <v>62</v>
      </c>
      <c r="Y31" s="26" t="s">
        <v>63</v>
      </c>
      <c r="Z31" s="20" t="s">
        <v>428</v>
      </c>
      <c r="AA31" s="20" t="s">
        <v>147</v>
      </c>
      <c r="AB31" s="20"/>
      <c r="AC31" s="20" t="s">
        <v>148</v>
      </c>
      <c r="AD31" s="46" t="s">
        <v>150</v>
      </c>
      <c r="AE31" s="20" t="s">
        <v>586</v>
      </c>
      <c r="AF31" s="20" t="s">
        <v>587</v>
      </c>
      <c r="AG31" s="53" t="s">
        <v>585</v>
      </c>
      <c r="AH31" s="20" t="s">
        <v>588</v>
      </c>
      <c r="AI31" s="25" t="str">
        <f>HYPERLINK("mailto:fundevi@ucr.ac.cr","fundevi@ucr.ac.cr")</f>
        <v>fundevi@ucr.ac.cr</v>
      </c>
      <c r="AJ31" s="20" t="s">
        <v>589</v>
      </c>
      <c r="AK31" s="20" t="s">
        <v>153</v>
      </c>
      <c r="AL31" s="20" t="s">
        <v>590</v>
      </c>
      <c r="AM31" s="16"/>
      <c r="AN31" s="16"/>
      <c r="AO31" s="16"/>
      <c r="AP31" s="16"/>
      <c r="AQ31" s="16"/>
      <c r="AR31" s="16"/>
      <c r="AS31" s="16"/>
      <c r="AT31" s="16"/>
      <c r="AU31" s="16"/>
      <c r="AV31" s="16"/>
      <c r="AW31" s="16"/>
      <c r="AX31" s="16"/>
      <c r="AY31" s="16"/>
      <c r="AZ31" s="16"/>
      <c r="BA31" s="16"/>
      <c r="BB31" s="16"/>
      <c r="BC31" s="16"/>
      <c r="BD31" s="16"/>
      <c r="BE31" s="16"/>
      <c r="BF31" s="16"/>
    </row>
    <row r="32" ht="60.0" customHeight="1">
      <c r="A32" s="20" t="s">
        <v>361</v>
      </c>
      <c r="B32" s="20" t="s">
        <v>355</v>
      </c>
      <c r="C32" s="20" t="s">
        <v>231</v>
      </c>
      <c r="D32" s="21" t="s">
        <v>213</v>
      </c>
      <c r="E32" s="20" t="s">
        <v>157</v>
      </c>
      <c r="F32" s="20" t="s">
        <v>591</v>
      </c>
      <c r="G32" s="20" t="s">
        <v>592</v>
      </c>
      <c r="H32" s="20"/>
      <c r="I32" s="23">
        <f>'17025 SAL'!$H32+$AN$1</f>
        <v>1460</v>
      </c>
      <c r="J32" s="23">
        <v>39125.0</v>
      </c>
      <c r="K32" s="20"/>
      <c r="L32" s="20"/>
      <c r="M32" s="24" t="s">
        <v>593</v>
      </c>
      <c r="N32" s="48"/>
      <c r="O32" s="20" t="s">
        <v>594</v>
      </c>
      <c r="P32" s="20" t="s">
        <v>359</v>
      </c>
      <c r="Q32" s="20" t="s">
        <v>55</v>
      </c>
      <c r="R32" s="20" t="s">
        <v>595</v>
      </c>
      <c r="S32" s="20"/>
      <c r="T32" s="20"/>
      <c r="U32" s="20"/>
      <c r="V32" s="20"/>
      <c r="W32" s="20"/>
      <c r="X32" s="20"/>
      <c r="Y32" s="20"/>
      <c r="Z32" s="20"/>
      <c r="AA32" s="20"/>
      <c r="AB32" s="20"/>
      <c r="AC32" s="20"/>
      <c r="AD32" s="20"/>
      <c r="AE32" s="20"/>
      <c r="AF32" s="20"/>
      <c r="AG32" s="20"/>
      <c r="AH32" s="20"/>
      <c r="AI32" s="20"/>
      <c r="AJ32" s="20"/>
      <c r="AK32" s="20" t="s">
        <v>596</v>
      </c>
      <c r="AL32" s="20"/>
      <c r="AM32" s="16"/>
      <c r="AN32" s="16"/>
      <c r="AO32" s="16"/>
      <c r="AP32" s="16"/>
      <c r="AQ32" s="16"/>
      <c r="AR32" s="16"/>
      <c r="AS32" s="16"/>
      <c r="AT32" s="16"/>
      <c r="AU32" s="16"/>
      <c r="AV32" s="16"/>
      <c r="AW32" s="16"/>
      <c r="AX32" s="16"/>
      <c r="AY32" s="16"/>
      <c r="AZ32" s="16"/>
      <c r="BA32" s="16"/>
      <c r="BB32" s="16"/>
      <c r="BC32" s="16"/>
      <c r="BD32" s="16"/>
      <c r="BE32" s="16"/>
      <c r="BF32" s="16"/>
    </row>
    <row r="33" ht="60.0" customHeight="1">
      <c r="A33" s="20" t="s">
        <v>597</v>
      </c>
      <c r="B33" s="20" t="s">
        <v>598</v>
      </c>
      <c r="C33" s="20" t="s">
        <v>47</v>
      </c>
      <c r="D33" s="21" t="s">
        <v>314</v>
      </c>
      <c r="E33" s="24" t="s">
        <v>157</v>
      </c>
      <c r="F33" s="20" t="s">
        <v>599</v>
      </c>
      <c r="G33" s="20" t="s">
        <v>467</v>
      </c>
      <c r="H33" s="23">
        <v>44096.0</v>
      </c>
      <c r="I33" s="23">
        <f>'17025 SAL'!$H33+$AN$1</f>
        <v>45556</v>
      </c>
      <c r="J33" s="23">
        <v>39209.0</v>
      </c>
      <c r="K33" s="20"/>
      <c r="L33" s="20" t="s">
        <v>600</v>
      </c>
      <c r="M33" s="26" t="s">
        <v>601</v>
      </c>
      <c r="N33" s="20" t="s">
        <v>602</v>
      </c>
      <c r="O33" s="20" t="s">
        <v>603</v>
      </c>
      <c r="P33" s="20" t="s">
        <v>604</v>
      </c>
      <c r="Q33" s="20" t="s">
        <v>55</v>
      </c>
      <c r="R33" s="26" t="s">
        <v>605</v>
      </c>
      <c r="S33" s="26" t="s">
        <v>121</v>
      </c>
      <c r="T33" s="20" t="s">
        <v>606</v>
      </c>
      <c r="U33" s="25" t="str">
        <f>HYPERLINK("http://www.senasa.go.cr/senasa/sitio/;","http://www.senasa.go.cr/senasa/sitio/;")</f>
        <v>http://www.senasa.go.cr/senasa/sitio/;</v>
      </c>
      <c r="V33" s="20" t="s">
        <v>607</v>
      </c>
      <c r="W33" s="20" t="s">
        <v>608</v>
      </c>
      <c r="X33" s="20" t="s">
        <v>62</v>
      </c>
      <c r="Y33" s="20" t="s">
        <v>63</v>
      </c>
      <c r="Z33" s="20" t="s">
        <v>609</v>
      </c>
      <c r="AA33" s="26" t="s">
        <v>610</v>
      </c>
      <c r="AB33" s="26" t="s">
        <v>611</v>
      </c>
      <c r="AC33" s="20" t="s">
        <v>612</v>
      </c>
      <c r="AD33" s="20" t="s">
        <v>613</v>
      </c>
      <c r="AE33" s="20" t="s">
        <v>614</v>
      </c>
      <c r="AF33" s="20" t="s">
        <v>615</v>
      </c>
      <c r="AG33" s="26" t="s">
        <v>616</v>
      </c>
      <c r="AH33" s="20" t="s">
        <v>617</v>
      </c>
      <c r="AI33" s="34" t="str">
        <f>HYPERLINK("mailto:eddy.obando.a@senasa.go.cr","eddy.obando.a@senasa.go.cr; bryan.moreira.r@senasa.go.cr")</f>
        <v>eddy.obando.a@senasa.go.cr; bryan.moreira.r@senasa.go.cr</v>
      </c>
      <c r="AJ33" s="20" t="s">
        <v>618</v>
      </c>
      <c r="AK33" s="20" t="s">
        <v>619</v>
      </c>
      <c r="AL33" s="20" t="s">
        <v>620</v>
      </c>
      <c r="AM33" s="16"/>
      <c r="AN33" s="16"/>
      <c r="AO33" s="16"/>
      <c r="AP33" s="16"/>
      <c r="AQ33" s="16"/>
      <c r="AR33" s="16"/>
      <c r="AS33" s="16"/>
      <c r="AT33" s="16"/>
      <c r="AU33" s="16"/>
      <c r="AV33" s="16"/>
      <c r="AW33" s="16"/>
      <c r="AX33" s="16"/>
      <c r="AY33" s="16"/>
      <c r="AZ33" s="16"/>
      <c r="BA33" s="16"/>
      <c r="BB33" s="16"/>
      <c r="BC33" s="16"/>
      <c r="BD33" s="16"/>
      <c r="BE33" s="16"/>
      <c r="BF33" s="16"/>
    </row>
    <row r="34" ht="60.0" customHeight="1">
      <c r="A34" s="20" t="s">
        <v>621</v>
      </c>
      <c r="B34" s="20" t="s">
        <v>622</v>
      </c>
      <c r="C34" s="20" t="s">
        <v>47</v>
      </c>
      <c r="D34" s="21" t="s">
        <v>48</v>
      </c>
      <c r="E34" s="20" t="s">
        <v>49</v>
      </c>
      <c r="F34" s="20" t="s">
        <v>623</v>
      </c>
      <c r="G34" s="20" t="s">
        <v>623</v>
      </c>
      <c r="H34" s="23">
        <v>45533.0</v>
      </c>
      <c r="I34" s="23" t="s">
        <v>76</v>
      </c>
      <c r="J34" s="23">
        <v>39517.0</v>
      </c>
      <c r="K34" s="20" t="s">
        <v>624</v>
      </c>
      <c r="L34" s="26" t="s">
        <v>625</v>
      </c>
      <c r="M34" s="20" t="s">
        <v>626</v>
      </c>
      <c r="N34" s="20" t="s">
        <v>627</v>
      </c>
      <c r="O34" s="20" t="s">
        <v>628</v>
      </c>
      <c r="P34" s="47" t="s">
        <v>629</v>
      </c>
      <c r="Q34" s="20" t="s">
        <v>55</v>
      </c>
      <c r="R34" s="26" t="s">
        <v>630</v>
      </c>
      <c r="S34" s="26" t="s">
        <v>57</v>
      </c>
      <c r="T34" s="20" t="s">
        <v>631</v>
      </c>
      <c r="U34" s="25" t="str">
        <f>HYPERLINK("http://www.itp.co.cr/","www.itp.co.cr")</f>
        <v>www.itp.co.cr</v>
      </c>
      <c r="V34" s="20" t="s">
        <v>632</v>
      </c>
      <c r="W34" s="39">
        <v>1.10740098E8</v>
      </c>
      <c r="X34" s="20" t="s">
        <v>304</v>
      </c>
      <c r="Y34" s="20" t="s">
        <v>63</v>
      </c>
      <c r="Z34" s="20" t="s">
        <v>125</v>
      </c>
      <c r="AA34" s="26" t="s">
        <v>630</v>
      </c>
      <c r="AB34" s="26"/>
      <c r="AC34" s="20" t="s">
        <v>67</v>
      </c>
      <c r="AD34" s="20" t="s">
        <v>633</v>
      </c>
      <c r="AE34" s="20" t="s">
        <v>621</v>
      </c>
      <c r="AF34" s="20" t="s">
        <v>634</v>
      </c>
      <c r="AG34" s="26" t="s">
        <v>630</v>
      </c>
      <c r="AH34" s="20" t="s">
        <v>635</v>
      </c>
      <c r="AI34" s="34" t="str">
        <f>HYPERLINK("mailto:aacuna@itp.co.cr","aacuna@itp.co.cr")</f>
        <v>aacuna@itp.co.cr</v>
      </c>
      <c r="AJ34" s="20" t="s">
        <v>636</v>
      </c>
      <c r="AK34" s="20" t="s">
        <v>637</v>
      </c>
      <c r="AL34" s="20" t="s">
        <v>638</v>
      </c>
      <c r="AM34" s="16"/>
      <c r="AN34" s="16"/>
      <c r="AO34" s="16"/>
      <c r="AP34" s="16"/>
      <c r="AQ34" s="16"/>
      <c r="AR34" s="16"/>
      <c r="AS34" s="16"/>
      <c r="AT34" s="16"/>
      <c r="AU34" s="16"/>
      <c r="AV34" s="16"/>
      <c r="AW34" s="16"/>
      <c r="AX34" s="16"/>
      <c r="AY34" s="16"/>
      <c r="AZ34" s="16"/>
      <c r="BA34" s="16"/>
      <c r="BB34" s="16"/>
      <c r="BC34" s="16"/>
      <c r="BD34" s="16"/>
      <c r="BE34" s="16"/>
      <c r="BF34" s="16"/>
    </row>
    <row r="35" ht="60.0" customHeight="1">
      <c r="A35" s="20" t="s">
        <v>639</v>
      </c>
      <c r="B35" s="20" t="s">
        <v>640</v>
      </c>
      <c r="C35" s="20" t="s">
        <v>47</v>
      </c>
      <c r="D35" s="21" t="s">
        <v>48</v>
      </c>
      <c r="E35" s="20" t="s">
        <v>49</v>
      </c>
      <c r="F35" s="20" t="s">
        <v>641</v>
      </c>
      <c r="G35" s="20" t="s">
        <v>542</v>
      </c>
      <c r="H35" s="23">
        <v>45482.0</v>
      </c>
      <c r="I35" s="23" t="s">
        <v>76</v>
      </c>
      <c r="J35" s="23">
        <v>39244.0</v>
      </c>
      <c r="K35" s="20"/>
      <c r="L35" s="26" t="s">
        <v>642</v>
      </c>
      <c r="M35" s="20" t="s">
        <v>643</v>
      </c>
      <c r="N35" s="20"/>
      <c r="O35" s="20" t="s">
        <v>644</v>
      </c>
      <c r="P35" s="20" t="s">
        <v>645</v>
      </c>
      <c r="Q35" s="20" t="s">
        <v>55</v>
      </c>
      <c r="R35" s="26" t="s">
        <v>646</v>
      </c>
      <c r="S35" s="26" t="s">
        <v>104</v>
      </c>
      <c r="T35" s="20" t="s">
        <v>647</v>
      </c>
      <c r="U35" s="25" t="str">
        <f>HYPERLINK("http://www.chemlabsonline.com/","www.chemlabsonline.com")</f>
        <v>www.chemlabsonline.com</v>
      </c>
      <c r="V35" s="20" t="s">
        <v>648</v>
      </c>
      <c r="W35" s="20" t="s">
        <v>649</v>
      </c>
      <c r="X35" s="20" t="s">
        <v>62</v>
      </c>
      <c r="Y35" s="20" t="s">
        <v>63</v>
      </c>
      <c r="Z35" s="20" t="s">
        <v>650</v>
      </c>
      <c r="AA35" s="20" t="s">
        <v>651</v>
      </c>
      <c r="AB35" s="20"/>
      <c r="AC35" s="20" t="s">
        <v>652</v>
      </c>
      <c r="AD35" s="20" t="s">
        <v>653</v>
      </c>
      <c r="AE35" s="20" t="s">
        <v>653</v>
      </c>
      <c r="AF35" s="20">
        <v>2.2346339E7</v>
      </c>
      <c r="AG35" s="20" t="s">
        <v>651</v>
      </c>
      <c r="AH35" s="20" t="s">
        <v>645</v>
      </c>
      <c r="AI35" s="25" t="str">
        <f>HYPERLINK("mailto:bramirez@chemlabsonline.com","bramirez@chemlabsonline.com")</f>
        <v>bramirez@chemlabsonline.com</v>
      </c>
      <c r="AJ35" s="20" t="s">
        <v>654</v>
      </c>
      <c r="AK35" s="20" t="s">
        <v>655</v>
      </c>
      <c r="AL35" s="20"/>
      <c r="AM35" s="16"/>
      <c r="AN35" s="16"/>
      <c r="AO35" s="16"/>
      <c r="AP35" s="16"/>
      <c r="AQ35" s="16"/>
      <c r="AR35" s="16"/>
      <c r="AS35" s="16"/>
      <c r="AT35" s="16"/>
      <c r="AU35" s="16"/>
      <c r="AV35" s="16"/>
      <c r="AW35" s="16"/>
      <c r="AX35" s="16"/>
      <c r="AY35" s="16"/>
      <c r="AZ35" s="16"/>
      <c r="BA35" s="16"/>
      <c r="BB35" s="16"/>
      <c r="BC35" s="16"/>
      <c r="BD35" s="16"/>
      <c r="BE35" s="16"/>
      <c r="BF35" s="16"/>
    </row>
    <row r="36" ht="60.0" customHeight="1">
      <c r="A36" s="26" t="s">
        <v>656</v>
      </c>
      <c r="B36" s="26"/>
      <c r="C36" s="24" t="s">
        <v>231</v>
      </c>
      <c r="D36" s="21" t="s">
        <v>213</v>
      </c>
      <c r="E36" s="24" t="s">
        <v>49</v>
      </c>
      <c r="F36" s="24" t="s">
        <v>657</v>
      </c>
      <c r="G36" s="24" t="s">
        <v>591</v>
      </c>
      <c r="H36" s="24"/>
      <c r="I36" s="54">
        <f>'17025 SAL'!$H36+$AN$1</f>
        <v>1460</v>
      </c>
      <c r="J36" s="54">
        <v>39426.0</v>
      </c>
      <c r="K36" s="24"/>
      <c r="L36" s="26" t="s">
        <v>658</v>
      </c>
      <c r="M36" s="52" t="str">
        <f t="shared" ref="M36:M37" si="1">HYPERLINK("mailto:brenda.miranda@infarma.hn","brenda.miranda@infarma.hn; administracion.calidad@infarma.hn")</f>
        <v>brenda.miranda@infarma.hn; administracion.calidad@infarma.hn</v>
      </c>
      <c r="N36" s="20"/>
      <c r="O36" s="24" t="s">
        <v>659</v>
      </c>
      <c r="P36" s="24" t="s">
        <v>660</v>
      </c>
      <c r="Q36" s="24" t="s">
        <v>661</v>
      </c>
      <c r="R36" s="26" t="s">
        <v>662</v>
      </c>
      <c r="S36" s="24"/>
      <c r="T36" s="24" t="s">
        <v>663</v>
      </c>
      <c r="U36" s="55" t="str">
        <f t="shared" ref="U36:U37" si="2">HYPERLINK("http://www.infarma.hn/","www.infarma.hn")</f>
        <v>www.infarma.hn</v>
      </c>
      <c r="V36" s="24" t="s">
        <v>664</v>
      </c>
      <c r="W36" s="24" t="s">
        <v>665</v>
      </c>
      <c r="X36" s="24" t="s">
        <v>84</v>
      </c>
      <c r="Y36" s="24" t="s">
        <v>666</v>
      </c>
      <c r="Z36" s="26" t="s">
        <v>667</v>
      </c>
      <c r="AA36" s="26" t="s">
        <v>662</v>
      </c>
      <c r="AB36" s="26"/>
      <c r="AC36" s="24" t="s">
        <v>668</v>
      </c>
      <c r="AD36" s="24" t="s">
        <v>669</v>
      </c>
      <c r="AE36" s="24" t="s">
        <v>670</v>
      </c>
      <c r="AF36" s="24" t="s">
        <v>671</v>
      </c>
      <c r="AG36" s="26" t="s">
        <v>662</v>
      </c>
      <c r="AH36" s="24" t="s">
        <v>672</v>
      </c>
      <c r="AI36" s="55" t="str">
        <f t="shared" ref="AI36:AI37" si="3">HYPERLINK("mailto:iris.martinez@infarma.hn","iris.martinez@infarma.hn")</f>
        <v>iris.martinez@infarma.hn</v>
      </c>
      <c r="AJ36" s="26" t="s">
        <v>673</v>
      </c>
      <c r="AK36" s="26" t="s">
        <v>674</v>
      </c>
      <c r="AL36" s="26" t="s">
        <v>675</v>
      </c>
      <c r="AM36" s="16"/>
      <c r="AN36" s="16"/>
      <c r="AO36" s="16"/>
      <c r="AP36" s="16"/>
      <c r="AQ36" s="16"/>
      <c r="AR36" s="16"/>
      <c r="AS36" s="16"/>
      <c r="AT36" s="16"/>
      <c r="AU36" s="16"/>
      <c r="AV36" s="16"/>
      <c r="AW36" s="16"/>
      <c r="AX36" s="16"/>
      <c r="AY36" s="16"/>
      <c r="AZ36" s="16"/>
      <c r="BA36" s="16"/>
      <c r="BB36" s="16"/>
      <c r="BC36" s="16"/>
      <c r="BD36" s="16"/>
      <c r="BE36" s="16"/>
      <c r="BF36" s="16"/>
    </row>
    <row r="37" ht="60.0" customHeight="1">
      <c r="A37" s="20" t="s">
        <v>676</v>
      </c>
      <c r="B37" s="20"/>
      <c r="C37" s="24" t="s">
        <v>47</v>
      </c>
      <c r="D37" s="21" t="s">
        <v>213</v>
      </c>
      <c r="E37" s="20" t="s">
        <v>49</v>
      </c>
      <c r="F37" s="20" t="s">
        <v>677</v>
      </c>
      <c r="G37" s="24" t="s">
        <v>641</v>
      </c>
      <c r="H37" s="24"/>
      <c r="I37" s="54">
        <f>'17025 SAL'!$H37+$AN$1</f>
        <v>1460</v>
      </c>
      <c r="J37" s="54">
        <v>39574.0</v>
      </c>
      <c r="K37" s="24"/>
      <c r="L37" s="20" t="s">
        <v>658</v>
      </c>
      <c r="M37" s="52" t="str">
        <f t="shared" si="1"/>
        <v>brenda.miranda@infarma.hn; administracion.calidad@infarma.hn</v>
      </c>
      <c r="N37" s="20"/>
      <c r="O37" s="24" t="s">
        <v>659</v>
      </c>
      <c r="P37" s="24" t="s">
        <v>678</v>
      </c>
      <c r="Q37" s="24" t="s">
        <v>661</v>
      </c>
      <c r="R37" s="26" t="s">
        <v>662</v>
      </c>
      <c r="S37" s="24"/>
      <c r="T37" s="24" t="s">
        <v>663</v>
      </c>
      <c r="U37" s="55" t="str">
        <f t="shared" si="2"/>
        <v>www.infarma.hn</v>
      </c>
      <c r="V37" s="24" t="s">
        <v>664</v>
      </c>
      <c r="W37" s="24" t="s">
        <v>665</v>
      </c>
      <c r="X37" s="24" t="s">
        <v>84</v>
      </c>
      <c r="Y37" s="24" t="s">
        <v>666</v>
      </c>
      <c r="Z37" s="26" t="s">
        <v>667</v>
      </c>
      <c r="AA37" s="26" t="s">
        <v>662</v>
      </c>
      <c r="AB37" s="26"/>
      <c r="AC37" s="24" t="s">
        <v>668</v>
      </c>
      <c r="AD37" s="24" t="s">
        <v>669</v>
      </c>
      <c r="AE37" s="24" t="s">
        <v>670</v>
      </c>
      <c r="AF37" s="24" t="s">
        <v>671</v>
      </c>
      <c r="AG37" s="26" t="s">
        <v>662</v>
      </c>
      <c r="AH37" s="24" t="s">
        <v>672</v>
      </c>
      <c r="AI37" s="55" t="str">
        <f t="shared" si="3"/>
        <v>iris.martinez@infarma.hn</v>
      </c>
      <c r="AJ37" s="26" t="s">
        <v>673</v>
      </c>
      <c r="AK37" s="26" t="s">
        <v>679</v>
      </c>
      <c r="AL37" s="26" t="s">
        <v>675</v>
      </c>
      <c r="AM37" s="16"/>
      <c r="AN37" s="16"/>
      <c r="AO37" s="16"/>
      <c r="AP37" s="16"/>
      <c r="AQ37" s="16"/>
      <c r="AR37" s="16"/>
      <c r="AS37" s="16"/>
      <c r="AT37" s="16"/>
      <c r="AU37" s="16"/>
      <c r="AV37" s="16"/>
      <c r="AW37" s="16"/>
      <c r="AX37" s="16"/>
      <c r="AY37" s="16"/>
      <c r="AZ37" s="16"/>
      <c r="BA37" s="16"/>
      <c r="BB37" s="16"/>
      <c r="BC37" s="16"/>
      <c r="BD37" s="16"/>
      <c r="BE37" s="16"/>
      <c r="BF37" s="16"/>
    </row>
    <row r="38" ht="60.0" customHeight="1">
      <c r="A38" s="24" t="s">
        <v>680</v>
      </c>
      <c r="B38" s="26" t="s">
        <v>681</v>
      </c>
      <c r="C38" s="24" t="s">
        <v>231</v>
      </c>
      <c r="D38" s="21" t="s">
        <v>48</v>
      </c>
      <c r="E38" s="24" t="s">
        <v>49</v>
      </c>
      <c r="F38" s="24" t="s">
        <v>682</v>
      </c>
      <c r="G38" s="24" t="s">
        <v>683</v>
      </c>
      <c r="H38" s="54">
        <v>45128.0</v>
      </c>
      <c r="I38" s="23">
        <f>'17025 SAL'!$H38+$AN$1</f>
        <v>46588</v>
      </c>
      <c r="J38" s="54">
        <v>39344.0</v>
      </c>
      <c r="K38" s="24"/>
      <c r="L38" s="24" t="s">
        <v>684</v>
      </c>
      <c r="M38" s="20" t="s">
        <v>685</v>
      </c>
      <c r="N38" s="20" t="s">
        <v>686</v>
      </c>
      <c r="O38" s="24" t="s">
        <v>687</v>
      </c>
      <c r="P38" s="24" t="s">
        <v>688</v>
      </c>
      <c r="Q38" s="24" t="s">
        <v>55</v>
      </c>
      <c r="R38" s="26" t="s">
        <v>689</v>
      </c>
      <c r="S38" s="20" t="s">
        <v>57</v>
      </c>
      <c r="T38" s="24" t="s">
        <v>690</v>
      </c>
      <c r="U38" s="55" t="str">
        <f>HYPERLINK("http://www.metrocal.co.cr/","www.metrocal.co.cr")</f>
        <v>www.metrocal.co.cr</v>
      </c>
      <c r="V38" s="26" t="s">
        <v>691</v>
      </c>
      <c r="W38" s="24" t="s">
        <v>692</v>
      </c>
      <c r="X38" s="24" t="s">
        <v>62</v>
      </c>
      <c r="Y38" s="24" t="s">
        <v>63</v>
      </c>
      <c r="Z38" s="24" t="s">
        <v>693</v>
      </c>
      <c r="AA38" s="56" t="str">
        <f>HYPERLINK("mailto:mmartinez@metrocal.co.cr","Alajuela, 2 km este del Aeropuerto Internacional Juan Santamaría, Río Segundo de Alajuela .")</f>
        <v>Alajuela, 2 km este del Aeropuerto Internacional Juan Santamaría, Río Segundo de Alajuela .</v>
      </c>
      <c r="AB38" s="56"/>
      <c r="AC38" s="24" t="s">
        <v>694</v>
      </c>
      <c r="AD38" s="24" t="s">
        <v>695</v>
      </c>
      <c r="AE38" s="24" t="s">
        <v>695</v>
      </c>
      <c r="AF38" s="24" t="s">
        <v>687</v>
      </c>
      <c r="AG38" s="26" t="s">
        <v>696</v>
      </c>
      <c r="AH38" s="24" t="s">
        <v>688</v>
      </c>
      <c r="AI38" s="55" t="str">
        <f>HYPERLINK("mailto:schavarria@metrocal.co.cr","schavarria@metrocal.co.cr")</f>
        <v>schavarria@metrocal.co.cr</v>
      </c>
      <c r="AJ38" s="24" t="s">
        <v>697</v>
      </c>
      <c r="AK38" s="26" t="s">
        <v>680</v>
      </c>
      <c r="AL38" s="24" t="s">
        <v>140</v>
      </c>
      <c r="AM38" s="16"/>
      <c r="AN38" s="16"/>
      <c r="AO38" s="16"/>
      <c r="AP38" s="16"/>
      <c r="AQ38" s="16"/>
      <c r="AR38" s="16"/>
      <c r="AS38" s="16"/>
      <c r="AT38" s="16"/>
      <c r="AU38" s="16"/>
      <c r="AV38" s="16"/>
      <c r="AW38" s="16"/>
      <c r="AX38" s="16"/>
      <c r="AY38" s="16"/>
      <c r="AZ38" s="16"/>
      <c r="BA38" s="16"/>
      <c r="BB38" s="16"/>
      <c r="BC38" s="16"/>
      <c r="BD38" s="16"/>
      <c r="BE38" s="16"/>
      <c r="BF38" s="16"/>
    </row>
    <row r="39" ht="60.0" customHeight="1">
      <c r="A39" s="20" t="s">
        <v>698</v>
      </c>
      <c r="B39" s="20" t="s">
        <v>699</v>
      </c>
      <c r="C39" s="20" t="s">
        <v>47</v>
      </c>
      <c r="D39" s="21" t="s">
        <v>48</v>
      </c>
      <c r="E39" s="24" t="s">
        <v>157</v>
      </c>
      <c r="F39" s="20" t="s">
        <v>700</v>
      </c>
      <c r="G39" s="20" t="s">
        <v>701</v>
      </c>
      <c r="H39" s="23">
        <v>44159.0</v>
      </c>
      <c r="I39" s="23">
        <f>'17025 SAL'!$H39+$AN$1</f>
        <v>45619</v>
      </c>
      <c r="J39" s="23">
        <v>39489.0</v>
      </c>
      <c r="K39" s="20" t="s">
        <v>702</v>
      </c>
      <c r="L39" s="20" t="s">
        <v>703</v>
      </c>
      <c r="M39" s="20" t="s">
        <v>704</v>
      </c>
      <c r="N39" s="20" t="s">
        <v>705</v>
      </c>
      <c r="O39" s="20" t="s">
        <v>706</v>
      </c>
      <c r="P39" s="20" t="s">
        <v>707</v>
      </c>
      <c r="Q39" s="20" t="s">
        <v>55</v>
      </c>
      <c r="R39" s="20" t="s">
        <v>708</v>
      </c>
      <c r="S39" s="20" t="s">
        <v>104</v>
      </c>
      <c r="T39" s="20" t="s">
        <v>709</v>
      </c>
      <c r="U39" s="25" t="str">
        <f>HYPERLINK("http://www.aya.go.cr/","www.aya.go.cr")</f>
        <v>www.aya.go.cr</v>
      </c>
      <c r="V39" s="20" t="s">
        <v>710</v>
      </c>
      <c r="W39" s="24" t="s">
        <v>711</v>
      </c>
      <c r="X39" s="20" t="s">
        <v>62</v>
      </c>
      <c r="Y39" s="20" t="s">
        <v>63</v>
      </c>
      <c r="Z39" s="47" t="s">
        <v>712</v>
      </c>
      <c r="AA39" s="53" t="s">
        <v>713</v>
      </c>
      <c r="AB39" s="53"/>
      <c r="AC39" s="47" t="s">
        <v>714</v>
      </c>
      <c r="AD39" s="20" t="s">
        <v>715</v>
      </c>
      <c r="AE39" s="20" t="s">
        <v>715</v>
      </c>
      <c r="AF39" s="20">
        <v>2.2795118E7</v>
      </c>
      <c r="AG39" s="20" t="s">
        <v>716</v>
      </c>
      <c r="AH39" s="20">
        <v>2.2795973E7</v>
      </c>
      <c r="AI39" s="25" t="str">
        <f>HYPERLINK("mailto:msequeira@aya.go.cr","msequeira@aya.go.cr")</f>
        <v>msequeira@aya.go.cr</v>
      </c>
      <c r="AJ39" s="20" t="s">
        <v>717</v>
      </c>
      <c r="AK39" s="20" t="s">
        <v>718</v>
      </c>
      <c r="AL39" s="20"/>
      <c r="AM39" s="29"/>
      <c r="AN39" s="29"/>
      <c r="AO39" s="29"/>
      <c r="AP39" s="29"/>
      <c r="AQ39" s="29"/>
      <c r="AR39" s="29"/>
      <c r="AS39" s="29"/>
      <c r="AT39" s="29"/>
      <c r="AU39" s="29"/>
      <c r="AV39" s="29"/>
      <c r="AW39" s="29"/>
      <c r="AX39" s="29"/>
      <c r="AY39" s="29"/>
      <c r="AZ39" s="29"/>
      <c r="BA39" s="29"/>
      <c r="BB39" s="29"/>
      <c r="BC39" s="29"/>
      <c r="BD39" s="29"/>
      <c r="BE39" s="29"/>
      <c r="BF39" s="29"/>
    </row>
    <row r="40" ht="60.0" customHeight="1">
      <c r="A40" s="20" t="s">
        <v>719</v>
      </c>
      <c r="B40" s="20" t="s">
        <v>720</v>
      </c>
      <c r="C40" s="20" t="s">
        <v>47</v>
      </c>
      <c r="D40" s="21" t="s">
        <v>48</v>
      </c>
      <c r="E40" s="20" t="s">
        <v>49</v>
      </c>
      <c r="F40" s="20" t="s">
        <v>721</v>
      </c>
      <c r="G40" s="20" t="s">
        <v>722</v>
      </c>
      <c r="H40" s="23">
        <v>44009.0</v>
      </c>
      <c r="I40" s="23">
        <f>'17025 SAL'!$H40+$AN$1</f>
        <v>45469</v>
      </c>
      <c r="J40" s="23">
        <v>40099.0</v>
      </c>
      <c r="K40" s="20" t="s">
        <v>723</v>
      </c>
      <c r="L40" s="20" t="s">
        <v>724</v>
      </c>
      <c r="M40" s="20" t="s">
        <v>725</v>
      </c>
      <c r="N40" s="20" t="s">
        <v>726</v>
      </c>
      <c r="O40" s="20" t="s">
        <v>727</v>
      </c>
      <c r="P40" s="20" t="s">
        <v>76</v>
      </c>
      <c r="Q40" s="20" t="s">
        <v>55</v>
      </c>
      <c r="R40" s="26" t="s">
        <v>728</v>
      </c>
      <c r="S40" s="20" t="s">
        <v>57</v>
      </c>
      <c r="T40" s="20" t="s">
        <v>729</v>
      </c>
      <c r="U40" s="20" t="s">
        <v>730</v>
      </c>
      <c r="V40" s="20" t="s">
        <v>731</v>
      </c>
      <c r="W40" s="20" t="s">
        <v>732</v>
      </c>
      <c r="X40" s="20" t="s">
        <v>62</v>
      </c>
      <c r="Y40" s="20" t="s">
        <v>63</v>
      </c>
      <c r="Z40" s="20" t="s">
        <v>733</v>
      </c>
      <c r="AA40" s="37" t="s">
        <v>728</v>
      </c>
      <c r="AB40" s="26"/>
      <c r="AC40" s="20" t="s">
        <v>67</v>
      </c>
      <c r="AD40" s="35" t="s">
        <v>734</v>
      </c>
      <c r="AE40" s="20" t="s">
        <v>731</v>
      </c>
      <c r="AF40" s="20" t="s">
        <v>735</v>
      </c>
      <c r="AG40" s="26" t="s">
        <v>736</v>
      </c>
      <c r="AH40" s="20" t="s">
        <v>76</v>
      </c>
      <c r="AI40" s="36" t="s">
        <v>737</v>
      </c>
      <c r="AJ40" s="20" t="s">
        <v>738</v>
      </c>
      <c r="AK40" s="20" t="s">
        <v>719</v>
      </c>
      <c r="AL40" s="20" t="s">
        <v>739</v>
      </c>
      <c r="AM40" s="29"/>
      <c r="AN40" s="29"/>
      <c r="AO40" s="29"/>
      <c r="AP40" s="29"/>
      <c r="AQ40" s="29"/>
      <c r="AR40" s="29"/>
      <c r="AS40" s="29"/>
      <c r="AT40" s="29"/>
      <c r="AU40" s="29"/>
      <c r="AV40" s="29"/>
      <c r="AW40" s="29"/>
      <c r="AX40" s="29"/>
      <c r="AY40" s="29"/>
      <c r="AZ40" s="29"/>
      <c r="BA40" s="29"/>
      <c r="BB40" s="29"/>
      <c r="BC40" s="29"/>
      <c r="BD40" s="29"/>
      <c r="BE40" s="29"/>
      <c r="BF40" s="29"/>
    </row>
    <row r="41" ht="60.0" customHeight="1">
      <c r="A41" s="20" t="s">
        <v>740</v>
      </c>
      <c r="B41" s="20" t="s">
        <v>741</v>
      </c>
      <c r="C41" s="20" t="s">
        <v>47</v>
      </c>
      <c r="D41" s="21" t="s">
        <v>48</v>
      </c>
      <c r="E41" s="20" t="s">
        <v>49</v>
      </c>
      <c r="F41" s="20" t="s">
        <v>742</v>
      </c>
      <c r="G41" s="20" t="s">
        <v>743</v>
      </c>
      <c r="H41" s="23">
        <v>45142.0</v>
      </c>
      <c r="I41" s="23">
        <f>'17025 SAL'!$H41+$AN$1</f>
        <v>46602</v>
      </c>
      <c r="J41" s="23">
        <v>39735.0</v>
      </c>
      <c r="K41" s="20" t="s">
        <v>744</v>
      </c>
      <c r="L41" s="57" t="s">
        <v>745</v>
      </c>
      <c r="M41" s="20" t="s">
        <v>746</v>
      </c>
      <c r="N41" s="20" t="s">
        <v>747</v>
      </c>
      <c r="O41" s="20" t="s">
        <v>748</v>
      </c>
      <c r="P41" s="20" t="s">
        <v>749</v>
      </c>
      <c r="Q41" s="20" t="s">
        <v>55</v>
      </c>
      <c r="R41" s="20" t="s">
        <v>750</v>
      </c>
      <c r="S41" s="20" t="s">
        <v>57</v>
      </c>
      <c r="T41" s="20" t="s">
        <v>751</v>
      </c>
      <c r="U41" s="20" t="s">
        <v>140</v>
      </c>
      <c r="V41" s="20" t="s">
        <v>752</v>
      </c>
      <c r="W41" s="20" t="s">
        <v>753</v>
      </c>
      <c r="X41" s="20" t="s">
        <v>62</v>
      </c>
      <c r="Y41" s="20" t="s">
        <v>85</v>
      </c>
      <c r="Z41" s="20" t="s">
        <v>754</v>
      </c>
      <c r="AA41" s="20" t="s">
        <v>750</v>
      </c>
      <c r="AB41" s="20"/>
      <c r="AC41" s="20" t="s">
        <v>67</v>
      </c>
      <c r="AD41" s="20" t="s">
        <v>755</v>
      </c>
      <c r="AE41" s="20" t="s">
        <v>756</v>
      </c>
      <c r="AF41" s="53" t="s">
        <v>757</v>
      </c>
      <c r="AG41" s="20" t="s">
        <v>750</v>
      </c>
      <c r="AH41" s="20" t="s">
        <v>749</v>
      </c>
      <c r="AI41" s="25" t="s">
        <v>758</v>
      </c>
      <c r="AJ41" s="20" t="s">
        <v>759</v>
      </c>
      <c r="AK41" s="20" t="s">
        <v>740</v>
      </c>
      <c r="AL41" s="20"/>
      <c r="AM41" s="16"/>
      <c r="AN41" s="16"/>
      <c r="AO41" s="16"/>
      <c r="AP41" s="16"/>
      <c r="AQ41" s="16"/>
      <c r="AR41" s="16"/>
      <c r="AS41" s="16"/>
      <c r="AT41" s="16"/>
      <c r="AU41" s="16"/>
      <c r="AV41" s="16"/>
      <c r="AW41" s="16"/>
      <c r="AX41" s="16"/>
      <c r="AY41" s="16"/>
      <c r="AZ41" s="16"/>
      <c r="BA41" s="16"/>
      <c r="BB41" s="16"/>
      <c r="BC41" s="16"/>
      <c r="BD41" s="16"/>
      <c r="BE41" s="16"/>
      <c r="BF41" s="16"/>
    </row>
    <row r="42" ht="60.0" customHeight="1">
      <c r="A42" s="20" t="s">
        <v>760</v>
      </c>
      <c r="B42" s="24"/>
      <c r="C42" s="20" t="s">
        <v>47</v>
      </c>
      <c r="D42" s="21" t="s">
        <v>213</v>
      </c>
      <c r="E42" s="20" t="s">
        <v>49</v>
      </c>
      <c r="F42" s="20" t="s">
        <v>761</v>
      </c>
      <c r="G42" s="20" t="s">
        <v>762</v>
      </c>
      <c r="H42" s="20"/>
      <c r="I42" s="23">
        <f>'17025 SAL'!$H42+$AN$1</f>
        <v>1460</v>
      </c>
      <c r="J42" s="23">
        <v>39244.0</v>
      </c>
      <c r="K42" s="20"/>
      <c r="L42" s="20" t="s">
        <v>763</v>
      </c>
      <c r="M42" s="58" t="s">
        <v>764</v>
      </c>
      <c r="N42" s="59" t="s">
        <v>140</v>
      </c>
      <c r="O42" s="20" t="s">
        <v>765</v>
      </c>
      <c r="P42" s="20" t="s">
        <v>766</v>
      </c>
      <c r="Q42" s="20" t="s">
        <v>55</v>
      </c>
      <c r="R42" s="20" t="s">
        <v>767</v>
      </c>
      <c r="S42" s="20" t="s">
        <v>57</v>
      </c>
      <c r="T42" s="20" t="s">
        <v>768</v>
      </c>
      <c r="U42" s="20" t="s">
        <v>140</v>
      </c>
      <c r="V42" s="20" t="s">
        <v>769</v>
      </c>
      <c r="W42" s="20" t="s">
        <v>770</v>
      </c>
      <c r="X42" s="20" t="s">
        <v>771</v>
      </c>
      <c r="Y42" s="20" t="s">
        <v>63</v>
      </c>
      <c r="Z42" s="20" t="s">
        <v>772</v>
      </c>
      <c r="AA42" s="20" t="s">
        <v>773</v>
      </c>
      <c r="AB42" s="20"/>
      <c r="AC42" s="20" t="s">
        <v>774</v>
      </c>
      <c r="AD42" s="20" t="s">
        <v>775</v>
      </c>
      <c r="AE42" s="20" t="s">
        <v>776</v>
      </c>
      <c r="AF42" s="20" t="s">
        <v>777</v>
      </c>
      <c r="AG42" s="20" t="s">
        <v>773</v>
      </c>
      <c r="AH42" s="20" t="s">
        <v>766</v>
      </c>
      <c r="AI42" s="25" t="str">
        <f>HYPERLINK("mailto:jcubillo@coca-cola.com","jcubillo@coca-cola.com")</f>
        <v>jcubillo@coca-cola.com</v>
      </c>
      <c r="AJ42" s="20" t="s">
        <v>778</v>
      </c>
      <c r="AK42" s="20" t="s">
        <v>779</v>
      </c>
      <c r="AL42" s="20" t="s">
        <v>780</v>
      </c>
      <c r="AM42" s="29"/>
      <c r="AN42" s="29"/>
      <c r="AO42" s="29"/>
      <c r="AP42" s="29"/>
      <c r="AQ42" s="29"/>
      <c r="AR42" s="29"/>
      <c r="AS42" s="29"/>
      <c r="AT42" s="29"/>
      <c r="AU42" s="29"/>
      <c r="AV42" s="29"/>
      <c r="AW42" s="29"/>
      <c r="AX42" s="29"/>
      <c r="AY42" s="29"/>
      <c r="AZ42" s="29"/>
      <c r="BA42" s="29"/>
      <c r="BB42" s="29"/>
      <c r="BC42" s="29"/>
      <c r="BD42" s="29"/>
      <c r="BE42" s="29"/>
      <c r="BF42" s="29"/>
    </row>
    <row r="43" ht="60.0" customHeight="1">
      <c r="A43" s="20" t="s">
        <v>781</v>
      </c>
      <c r="B43" s="20" t="s">
        <v>782</v>
      </c>
      <c r="C43" s="20" t="s">
        <v>47</v>
      </c>
      <c r="D43" s="21" t="s">
        <v>48</v>
      </c>
      <c r="E43" s="20" t="s">
        <v>49</v>
      </c>
      <c r="F43" s="20" t="s">
        <v>783</v>
      </c>
      <c r="G43" s="20" t="s">
        <v>580</v>
      </c>
      <c r="H43" s="23">
        <v>45203.0</v>
      </c>
      <c r="I43" s="23">
        <f>'17025 SAL'!$H43+$AN$1</f>
        <v>46663</v>
      </c>
      <c r="J43" s="23">
        <v>39344.0</v>
      </c>
      <c r="K43" s="20" t="s">
        <v>784</v>
      </c>
      <c r="L43" s="20" t="s">
        <v>785</v>
      </c>
      <c r="M43" s="24" t="s">
        <v>786</v>
      </c>
      <c r="N43" s="24" t="s">
        <v>787</v>
      </c>
      <c r="O43" s="20" t="s">
        <v>788</v>
      </c>
      <c r="P43" s="20" t="s">
        <v>789</v>
      </c>
      <c r="Q43" s="20" t="s">
        <v>55</v>
      </c>
      <c r="R43" s="20" t="s">
        <v>790</v>
      </c>
      <c r="S43" s="20" t="s">
        <v>57</v>
      </c>
      <c r="T43" s="20" t="s">
        <v>791</v>
      </c>
      <c r="U43" s="25" t="str">
        <f>HYPERLINK("http://www.cyt.cr/","www.cyt.cr")</f>
        <v>www.cyt.cr</v>
      </c>
      <c r="V43" s="20" t="s">
        <v>792</v>
      </c>
      <c r="W43" s="20">
        <v>1.07400155E8</v>
      </c>
      <c r="X43" s="20" t="s">
        <v>62</v>
      </c>
      <c r="Y43" s="20" t="s">
        <v>63</v>
      </c>
      <c r="Z43" s="20" t="s">
        <v>793</v>
      </c>
      <c r="AA43" s="20" t="s">
        <v>790</v>
      </c>
      <c r="AB43" s="20"/>
      <c r="AC43" s="20" t="s">
        <v>794</v>
      </c>
      <c r="AD43" s="20" t="s">
        <v>795</v>
      </c>
      <c r="AE43" s="20" t="s">
        <v>796</v>
      </c>
      <c r="AF43" s="20" t="s">
        <v>797</v>
      </c>
      <c r="AG43" s="20" t="s">
        <v>790</v>
      </c>
      <c r="AH43" s="20" t="s">
        <v>789</v>
      </c>
      <c r="AI43" s="25" t="str">
        <f>HYPERLINK("mailto:amata@cyt.cr","amata@cyt.cr")</f>
        <v>amata@cyt.cr</v>
      </c>
      <c r="AJ43" s="20" t="s">
        <v>798</v>
      </c>
      <c r="AK43" s="20" t="s">
        <v>782</v>
      </c>
      <c r="AL43" s="20" t="s">
        <v>799</v>
      </c>
      <c r="AM43" s="29"/>
      <c r="AN43" s="29"/>
      <c r="AO43" s="29"/>
      <c r="AP43" s="29"/>
      <c r="AQ43" s="29"/>
      <c r="AR43" s="29"/>
      <c r="AS43" s="29"/>
      <c r="AT43" s="29"/>
      <c r="AU43" s="29"/>
      <c r="AV43" s="29"/>
      <c r="AW43" s="29"/>
      <c r="AX43" s="29"/>
      <c r="AY43" s="29"/>
      <c r="AZ43" s="29"/>
      <c r="BA43" s="29"/>
      <c r="BB43" s="29"/>
      <c r="BC43" s="29"/>
      <c r="BD43" s="29"/>
      <c r="BE43" s="29"/>
      <c r="BF43" s="29"/>
    </row>
    <row r="44" ht="60.0" customHeight="1">
      <c r="A44" s="20" t="s">
        <v>800</v>
      </c>
      <c r="B44" s="20"/>
      <c r="C44" s="20" t="s">
        <v>231</v>
      </c>
      <c r="D44" s="21" t="s">
        <v>48</v>
      </c>
      <c r="E44" s="24" t="s">
        <v>157</v>
      </c>
      <c r="F44" s="20" t="s">
        <v>801</v>
      </c>
      <c r="G44" s="20" t="s">
        <v>802</v>
      </c>
      <c r="H44" s="23">
        <v>45378.0</v>
      </c>
      <c r="I44" s="23">
        <f>'17025 SAL'!$H44+$AN$1</f>
        <v>46838</v>
      </c>
      <c r="J44" s="23">
        <v>39700.0</v>
      </c>
      <c r="K44" s="20"/>
      <c r="L44" s="20" t="s">
        <v>803</v>
      </c>
      <c r="M44" s="24" t="s">
        <v>804</v>
      </c>
      <c r="N44" s="24" t="s">
        <v>805</v>
      </c>
      <c r="O44" s="20" t="s">
        <v>806</v>
      </c>
      <c r="P44" s="20" t="s">
        <v>807</v>
      </c>
      <c r="Q44" s="20" t="s">
        <v>55</v>
      </c>
      <c r="R44" s="20" t="s">
        <v>808</v>
      </c>
      <c r="S44" s="20" t="s">
        <v>104</v>
      </c>
      <c r="T44" s="20" t="s">
        <v>165</v>
      </c>
      <c r="U44" s="25" t="str">
        <f>HYPERLINK("http://www.recope.go.cr/","www.recope.go.cr ")</f>
        <v>www.recope.go.cr </v>
      </c>
      <c r="V44" s="20" t="s">
        <v>809</v>
      </c>
      <c r="W44" s="20" t="s">
        <v>810</v>
      </c>
      <c r="X44" s="20" t="s">
        <v>811</v>
      </c>
      <c r="Y44" s="20" t="s">
        <v>63</v>
      </c>
      <c r="Z44" s="20" t="s">
        <v>812</v>
      </c>
      <c r="AA44" s="20" t="s">
        <v>813</v>
      </c>
      <c r="AB44" s="20"/>
      <c r="AC44" s="20" t="s">
        <v>285</v>
      </c>
      <c r="AD44" s="20" t="s">
        <v>814</v>
      </c>
      <c r="AE44" s="20" t="s">
        <v>815</v>
      </c>
      <c r="AF44" s="20" t="s">
        <v>816</v>
      </c>
      <c r="AG44" s="20" t="s">
        <v>817</v>
      </c>
      <c r="AH44" s="20" t="s">
        <v>807</v>
      </c>
      <c r="AI44" s="25" t="str">
        <f>HYPERLINK("mailto:patricia.soto@recope.go.cr;","patricia.soto@recope.go.cr; maricela.rodriguez@recope.go.cr")</f>
        <v>patricia.soto@recope.go.cr; maricela.rodriguez@recope.go.cr</v>
      </c>
      <c r="AJ44" s="20" t="s">
        <v>818</v>
      </c>
      <c r="AK44" s="20" t="s">
        <v>176</v>
      </c>
      <c r="AL44" s="20" t="s">
        <v>819</v>
      </c>
      <c r="AM44" s="16"/>
      <c r="AN44" s="16"/>
      <c r="AO44" s="16"/>
      <c r="AP44" s="16"/>
      <c r="AQ44" s="16"/>
      <c r="AR44" s="16"/>
      <c r="AS44" s="16"/>
      <c r="AT44" s="16"/>
      <c r="AU44" s="16"/>
      <c r="AV44" s="16"/>
      <c r="AW44" s="16"/>
      <c r="AX44" s="16"/>
      <c r="AY44" s="16"/>
      <c r="AZ44" s="16"/>
      <c r="BA44" s="16"/>
      <c r="BB44" s="16"/>
      <c r="BC44" s="16"/>
      <c r="BD44" s="16"/>
      <c r="BE44" s="16"/>
      <c r="BF44" s="16"/>
    </row>
    <row r="45" ht="60.0" customHeight="1">
      <c r="A45" s="26" t="s">
        <v>820</v>
      </c>
      <c r="B45" s="26" t="s">
        <v>821</v>
      </c>
      <c r="C45" s="26" t="s">
        <v>47</v>
      </c>
      <c r="D45" s="21" t="s">
        <v>822</v>
      </c>
      <c r="E45" s="26" t="s">
        <v>49</v>
      </c>
      <c r="F45" s="26" t="s">
        <v>823</v>
      </c>
      <c r="G45" s="26" t="s">
        <v>599</v>
      </c>
      <c r="H45" s="22">
        <v>45470.0</v>
      </c>
      <c r="I45" s="23" t="s">
        <v>76</v>
      </c>
      <c r="J45" s="22">
        <v>39426.0</v>
      </c>
      <c r="K45" s="26"/>
      <c r="L45" s="60" t="s">
        <v>824</v>
      </c>
      <c r="M45" s="20" t="s">
        <v>825</v>
      </c>
      <c r="N45" s="52" t="s">
        <v>826</v>
      </c>
      <c r="O45" s="26" t="s">
        <v>827</v>
      </c>
      <c r="P45" s="20" t="s">
        <v>828</v>
      </c>
      <c r="Q45" s="26" t="s">
        <v>55</v>
      </c>
      <c r="R45" s="26" t="s">
        <v>829</v>
      </c>
      <c r="S45" s="26" t="s">
        <v>57</v>
      </c>
      <c r="T45" s="26" t="s">
        <v>830</v>
      </c>
      <c r="U45" s="26" t="s">
        <v>324</v>
      </c>
      <c r="V45" s="26" t="s">
        <v>831</v>
      </c>
      <c r="W45" s="26" t="s">
        <v>832</v>
      </c>
      <c r="X45" s="26" t="s">
        <v>62</v>
      </c>
      <c r="Y45" s="26" t="s">
        <v>63</v>
      </c>
      <c r="Z45" s="26" t="s">
        <v>411</v>
      </c>
      <c r="AA45" s="26" t="s">
        <v>833</v>
      </c>
      <c r="AB45" s="26"/>
      <c r="AC45" s="26" t="s">
        <v>285</v>
      </c>
      <c r="AD45" s="26" t="s">
        <v>834</v>
      </c>
      <c r="AE45" s="26" t="s">
        <v>835</v>
      </c>
      <c r="AF45" s="26" t="s">
        <v>836</v>
      </c>
      <c r="AG45" s="26" t="s">
        <v>833</v>
      </c>
      <c r="AH45" s="26" t="s">
        <v>828</v>
      </c>
      <c r="AI45" s="26" t="s">
        <v>837</v>
      </c>
      <c r="AJ45" s="26" t="s">
        <v>838</v>
      </c>
      <c r="AK45" s="26" t="s">
        <v>839</v>
      </c>
      <c r="AL45" s="26"/>
      <c r="AM45" s="61"/>
      <c r="AN45" s="29"/>
      <c r="AO45" s="29"/>
      <c r="AP45" s="29"/>
      <c r="AQ45" s="29"/>
      <c r="AR45" s="29"/>
      <c r="AS45" s="29"/>
      <c r="AT45" s="29"/>
      <c r="AU45" s="29"/>
      <c r="AV45" s="29"/>
      <c r="AW45" s="29"/>
      <c r="AX45" s="29"/>
      <c r="AY45" s="29"/>
      <c r="AZ45" s="29"/>
      <c r="BA45" s="29"/>
      <c r="BB45" s="29"/>
      <c r="BC45" s="29"/>
      <c r="BD45" s="29"/>
      <c r="BE45" s="29"/>
      <c r="BF45" s="29"/>
    </row>
    <row r="46" ht="60.0" customHeight="1">
      <c r="A46" s="20" t="s">
        <v>840</v>
      </c>
      <c r="B46" s="20" t="s">
        <v>134</v>
      </c>
      <c r="C46" s="20" t="s">
        <v>47</v>
      </c>
      <c r="D46" s="21" t="s">
        <v>48</v>
      </c>
      <c r="E46" s="20" t="s">
        <v>96</v>
      </c>
      <c r="F46" s="20" t="s">
        <v>841</v>
      </c>
      <c r="G46" s="20" t="s">
        <v>842</v>
      </c>
      <c r="H46" s="23">
        <v>45147.0</v>
      </c>
      <c r="I46" s="23">
        <f>'17025 SAL'!$H46+$AN$1</f>
        <v>46607</v>
      </c>
      <c r="J46" s="23">
        <v>40232.0</v>
      </c>
      <c r="K46" s="20"/>
      <c r="L46" s="20" t="s">
        <v>843</v>
      </c>
      <c r="M46" s="20" t="s">
        <v>844</v>
      </c>
      <c r="N46" s="52" t="s">
        <v>845</v>
      </c>
      <c r="O46" s="20" t="s">
        <v>846</v>
      </c>
      <c r="P46" s="20" t="s">
        <v>847</v>
      </c>
      <c r="Q46" s="20" t="s">
        <v>55</v>
      </c>
      <c r="R46" s="20" t="s">
        <v>848</v>
      </c>
      <c r="S46" s="20" t="s">
        <v>57</v>
      </c>
      <c r="T46" s="20" t="s">
        <v>221</v>
      </c>
      <c r="U46" s="20" t="s">
        <v>324</v>
      </c>
      <c r="V46" s="20" t="s">
        <v>144</v>
      </c>
      <c r="W46" s="20" t="s">
        <v>145</v>
      </c>
      <c r="X46" s="20" t="s">
        <v>62</v>
      </c>
      <c r="Y46" s="26" t="s">
        <v>63</v>
      </c>
      <c r="Z46" s="20" t="s">
        <v>428</v>
      </c>
      <c r="AA46" s="20" t="s">
        <v>849</v>
      </c>
      <c r="AB46" s="20"/>
      <c r="AC46" s="20" t="s">
        <v>148</v>
      </c>
      <c r="AD46" s="20" t="s">
        <v>850</v>
      </c>
      <c r="AE46" s="20" t="s">
        <v>851</v>
      </c>
      <c r="AF46" s="20" t="s">
        <v>852</v>
      </c>
      <c r="AG46" s="20" t="s">
        <v>853</v>
      </c>
      <c r="AH46" s="20" t="s">
        <v>847</v>
      </c>
      <c r="AI46" s="25" t="str">
        <f>HYPERLINK("mailto:monica.herrera@ucr.ac.cr;","monica.herrera@ucr.ac.cr;")</f>
        <v>monica.herrera@ucr.ac.cr;</v>
      </c>
      <c r="AJ46" s="20" t="s">
        <v>854</v>
      </c>
      <c r="AK46" s="20" t="s">
        <v>153</v>
      </c>
      <c r="AL46" s="20"/>
      <c r="AM46" s="16"/>
      <c r="AN46" s="16"/>
      <c r="AO46" s="16"/>
      <c r="AP46" s="16"/>
      <c r="AQ46" s="16"/>
      <c r="AR46" s="16"/>
      <c r="AS46" s="16"/>
      <c r="AT46" s="16"/>
      <c r="AU46" s="16"/>
      <c r="AV46" s="16"/>
      <c r="AW46" s="16"/>
      <c r="AX46" s="16"/>
      <c r="AY46" s="16"/>
      <c r="AZ46" s="16"/>
      <c r="BA46" s="16"/>
      <c r="BB46" s="16"/>
      <c r="BC46" s="16"/>
      <c r="BD46" s="16"/>
      <c r="BE46" s="16"/>
      <c r="BF46" s="16"/>
    </row>
    <row r="47" ht="60.0" customHeight="1">
      <c r="A47" s="20" t="s">
        <v>855</v>
      </c>
      <c r="B47" s="20" t="s">
        <v>134</v>
      </c>
      <c r="C47" s="20" t="s">
        <v>47</v>
      </c>
      <c r="D47" s="21" t="s">
        <v>213</v>
      </c>
      <c r="E47" s="20" t="s">
        <v>96</v>
      </c>
      <c r="F47" s="20" t="s">
        <v>856</v>
      </c>
      <c r="G47" s="20" t="s">
        <v>783</v>
      </c>
      <c r="H47" s="20"/>
      <c r="I47" s="23">
        <f>'17025 SAL'!$H47+$AN$1</f>
        <v>1460</v>
      </c>
      <c r="J47" s="23">
        <v>39487.0</v>
      </c>
      <c r="K47" s="20"/>
      <c r="L47" s="20" t="s">
        <v>857</v>
      </c>
      <c r="M47" s="20" t="s">
        <v>858</v>
      </c>
      <c r="N47" s="20" t="s">
        <v>859</v>
      </c>
      <c r="O47" s="20" t="s">
        <v>860</v>
      </c>
      <c r="P47" s="20" t="s">
        <v>861</v>
      </c>
      <c r="Q47" s="20" t="s">
        <v>55</v>
      </c>
      <c r="R47" s="20" t="s">
        <v>862</v>
      </c>
      <c r="S47" s="20" t="s">
        <v>57</v>
      </c>
      <c r="T47" s="20" t="s">
        <v>221</v>
      </c>
      <c r="U47" s="20" t="s">
        <v>863</v>
      </c>
      <c r="V47" s="20"/>
      <c r="W47" s="20"/>
      <c r="X47" s="20"/>
      <c r="Y47" s="20"/>
      <c r="Z47" s="20"/>
      <c r="AA47" s="20" t="s">
        <v>864</v>
      </c>
      <c r="AB47" s="20"/>
      <c r="AC47" s="20" t="s">
        <v>148</v>
      </c>
      <c r="AD47" s="20" t="s">
        <v>865</v>
      </c>
      <c r="AE47" s="20" t="s">
        <v>150</v>
      </c>
      <c r="AF47" s="20" t="s">
        <v>866</v>
      </c>
      <c r="AG47" s="20" t="s">
        <v>864</v>
      </c>
      <c r="AH47" s="20" t="s">
        <v>861</v>
      </c>
      <c r="AI47" s="20" t="s">
        <v>867</v>
      </c>
      <c r="AJ47" s="20" t="s">
        <v>868</v>
      </c>
      <c r="AK47" s="20" t="s">
        <v>153</v>
      </c>
      <c r="AL47" s="20" t="s">
        <v>869</v>
      </c>
      <c r="AM47" s="29"/>
      <c r="AN47" s="29"/>
      <c r="AO47" s="29"/>
      <c r="AP47" s="29"/>
      <c r="AQ47" s="29"/>
      <c r="AR47" s="29"/>
      <c r="AS47" s="29"/>
      <c r="AT47" s="29"/>
      <c r="AU47" s="29"/>
      <c r="AV47" s="29"/>
      <c r="AW47" s="29"/>
      <c r="AX47" s="29"/>
      <c r="AY47" s="29"/>
      <c r="AZ47" s="29"/>
      <c r="BA47" s="29"/>
      <c r="BB47" s="29"/>
      <c r="BC47" s="29"/>
      <c r="BD47" s="29"/>
      <c r="BE47" s="29"/>
      <c r="BF47" s="29"/>
    </row>
    <row r="48" ht="60.0" customHeight="1">
      <c r="A48" s="20" t="s">
        <v>870</v>
      </c>
      <c r="B48" s="20" t="s">
        <v>355</v>
      </c>
      <c r="C48" s="20" t="s">
        <v>47</v>
      </c>
      <c r="D48" s="21" t="s">
        <v>48</v>
      </c>
      <c r="E48" s="24" t="s">
        <v>157</v>
      </c>
      <c r="F48" s="20" t="s">
        <v>871</v>
      </c>
      <c r="G48" s="20" t="s">
        <v>700</v>
      </c>
      <c r="H48" s="22">
        <v>45453.0</v>
      </c>
      <c r="I48" s="22" t="s">
        <v>76</v>
      </c>
      <c r="J48" s="23">
        <v>39735.0</v>
      </c>
      <c r="K48" s="20"/>
      <c r="L48" s="20" t="s">
        <v>872</v>
      </c>
      <c r="M48" s="20" t="s">
        <v>873</v>
      </c>
      <c r="N48" s="20" t="s">
        <v>874</v>
      </c>
      <c r="O48" s="20" t="s">
        <v>875</v>
      </c>
      <c r="P48" s="20" t="s">
        <v>876</v>
      </c>
      <c r="Q48" s="20" t="s">
        <v>55</v>
      </c>
      <c r="R48" s="20" t="s">
        <v>877</v>
      </c>
      <c r="S48" s="20" t="s">
        <v>57</v>
      </c>
      <c r="T48" s="20" t="s">
        <v>878</v>
      </c>
      <c r="U48" s="25" t="str">
        <f>HYPERLINK("http://www.grupoice.com/wps/portal/elect_ahorro_LabEficEnergetica;","http://www.grupoice.com/wps/portal/elect_ahorro_LabEficEnergetica;")</f>
        <v>http://www.grupoice.com/wps/portal/elect_ahorro_LabEficEnergetica;</v>
      </c>
      <c r="V48" s="20" t="s">
        <v>879</v>
      </c>
      <c r="W48" s="20" t="s">
        <v>880</v>
      </c>
      <c r="X48" s="20" t="s">
        <v>346</v>
      </c>
      <c r="Y48" s="20" t="s">
        <v>264</v>
      </c>
      <c r="Z48" s="20"/>
      <c r="AA48" s="20" t="s">
        <v>881</v>
      </c>
      <c r="AB48" s="20"/>
      <c r="AC48" s="20" t="s">
        <v>882</v>
      </c>
      <c r="AD48" s="20" t="s">
        <v>883</v>
      </c>
      <c r="AE48" s="20" t="s">
        <v>884</v>
      </c>
      <c r="AF48" s="20" t="s">
        <v>885</v>
      </c>
      <c r="AG48" s="20" t="s">
        <v>886</v>
      </c>
      <c r="AH48" s="20" t="s">
        <v>887</v>
      </c>
      <c r="AI48" s="25" t="str">
        <f>HYPERLINK("mailto:icelee@ice.go.cr","icelee@ice.go.cr")</f>
        <v>icelee@ice.go.cr</v>
      </c>
      <c r="AJ48" s="20" t="s">
        <v>888</v>
      </c>
      <c r="AK48" s="20" t="s">
        <v>518</v>
      </c>
      <c r="AL48" s="20" t="s">
        <v>889</v>
      </c>
      <c r="AM48" s="16"/>
      <c r="AN48" s="16"/>
      <c r="AO48" s="16"/>
      <c r="AP48" s="16"/>
      <c r="AQ48" s="16"/>
      <c r="AR48" s="16"/>
      <c r="AS48" s="16"/>
      <c r="AT48" s="16"/>
      <c r="AU48" s="16"/>
      <c r="AV48" s="16"/>
      <c r="AW48" s="16"/>
      <c r="AX48" s="16"/>
      <c r="AY48" s="16"/>
      <c r="AZ48" s="16"/>
      <c r="BA48" s="16"/>
      <c r="BB48" s="16"/>
      <c r="BC48" s="16"/>
      <c r="BD48" s="16"/>
      <c r="BE48" s="16"/>
      <c r="BF48" s="16"/>
    </row>
    <row r="49" ht="60.0" customHeight="1">
      <c r="A49" s="20" t="s">
        <v>890</v>
      </c>
      <c r="B49" s="20"/>
      <c r="C49" s="20" t="s">
        <v>231</v>
      </c>
      <c r="D49" s="21" t="s">
        <v>48</v>
      </c>
      <c r="E49" s="24" t="s">
        <v>157</v>
      </c>
      <c r="F49" s="20" t="s">
        <v>891</v>
      </c>
      <c r="G49" s="20" t="s">
        <v>657</v>
      </c>
      <c r="H49" s="23">
        <v>43917.0</v>
      </c>
      <c r="I49" s="23">
        <f>'17025 SAL'!$H49+$AN$1</f>
        <v>45377</v>
      </c>
      <c r="J49" s="23">
        <v>39553.0</v>
      </c>
      <c r="K49" s="20"/>
      <c r="L49" s="20" t="s">
        <v>892</v>
      </c>
      <c r="M49" s="20" t="s">
        <v>893</v>
      </c>
      <c r="N49" s="20" t="s">
        <v>894</v>
      </c>
      <c r="O49" s="53" t="s">
        <v>895</v>
      </c>
      <c r="P49" s="20" t="s">
        <v>896</v>
      </c>
      <c r="Q49" s="20" t="s">
        <v>55</v>
      </c>
      <c r="R49" s="20" t="s">
        <v>897</v>
      </c>
      <c r="S49" s="20" t="s">
        <v>57</v>
      </c>
      <c r="T49" s="20" t="s">
        <v>898</v>
      </c>
      <c r="U49" s="25" t="str">
        <f>HYPERLINK("http://www.cnfl.go.cr/","www.cnfl.go.cr")</f>
        <v>www.cnfl.go.cr</v>
      </c>
      <c r="V49" s="46" t="s">
        <v>899</v>
      </c>
      <c r="W49" s="46" t="s">
        <v>900</v>
      </c>
      <c r="X49" s="46" t="s">
        <v>346</v>
      </c>
      <c r="Y49" s="20" t="s">
        <v>63</v>
      </c>
      <c r="Z49" s="20" t="s">
        <v>901</v>
      </c>
      <c r="AA49" s="20" t="s">
        <v>897</v>
      </c>
      <c r="AB49" s="20"/>
      <c r="AC49" s="20" t="s">
        <v>67</v>
      </c>
      <c r="AD49" s="20" t="s">
        <v>902</v>
      </c>
      <c r="AE49" s="20" t="s">
        <v>903</v>
      </c>
      <c r="AF49" s="20" t="s">
        <v>904</v>
      </c>
      <c r="AG49" s="20" t="s">
        <v>897</v>
      </c>
      <c r="AH49" s="20" t="s">
        <v>896</v>
      </c>
      <c r="AI49" s="25" t="str">
        <f>HYPERLINK("mailto:respinoza@cnfl.go.cr","respinoza@cnfl.go.cr")</f>
        <v>respinoza@cnfl.go.cr</v>
      </c>
      <c r="AJ49" s="20" t="s">
        <v>905</v>
      </c>
      <c r="AK49" s="20" t="s">
        <v>906</v>
      </c>
      <c r="AL49" s="20"/>
      <c r="AM49" s="29"/>
      <c r="AN49" s="29"/>
      <c r="AO49" s="29"/>
      <c r="AP49" s="29"/>
      <c r="AQ49" s="29"/>
      <c r="AR49" s="29"/>
      <c r="AS49" s="29"/>
      <c r="AT49" s="29"/>
      <c r="AU49" s="29"/>
      <c r="AV49" s="29"/>
      <c r="AW49" s="29"/>
      <c r="AX49" s="29"/>
      <c r="AY49" s="29"/>
      <c r="AZ49" s="29"/>
      <c r="BA49" s="29"/>
      <c r="BB49" s="29"/>
      <c r="BC49" s="29"/>
      <c r="BD49" s="29"/>
      <c r="BE49" s="29"/>
      <c r="BF49" s="29"/>
    </row>
    <row r="50" ht="60.0" customHeight="1">
      <c r="A50" s="20" t="s">
        <v>907</v>
      </c>
      <c r="B50" s="20"/>
      <c r="C50" s="20" t="s">
        <v>47</v>
      </c>
      <c r="D50" s="21" t="s">
        <v>213</v>
      </c>
      <c r="E50" s="20" t="s">
        <v>49</v>
      </c>
      <c r="F50" s="20" t="s">
        <v>908</v>
      </c>
      <c r="G50" s="20" t="s">
        <v>742</v>
      </c>
      <c r="H50" s="23">
        <v>43528.0</v>
      </c>
      <c r="I50" s="23">
        <f>'17025 SAL'!$H50+$AN$1</f>
        <v>44988</v>
      </c>
      <c r="J50" s="23">
        <v>39791.0</v>
      </c>
      <c r="K50" s="20"/>
      <c r="L50" s="20" t="s">
        <v>909</v>
      </c>
      <c r="M50" s="20" t="s">
        <v>910</v>
      </c>
      <c r="N50" s="20"/>
      <c r="O50" s="20" t="s">
        <v>911</v>
      </c>
      <c r="P50" s="20" t="s">
        <v>912</v>
      </c>
      <c r="Q50" s="20" t="s">
        <v>661</v>
      </c>
      <c r="R50" s="20" t="s">
        <v>913</v>
      </c>
      <c r="S50" s="20" t="s">
        <v>914</v>
      </c>
      <c r="T50" s="26" t="s">
        <v>915</v>
      </c>
      <c r="U50" s="25" t="str">
        <f>HYPERLINK("http://www.bat.com/","www.bat.com")</f>
        <v>www.bat.com</v>
      </c>
      <c r="V50" s="20" t="s">
        <v>916</v>
      </c>
      <c r="W50" s="20" t="s">
        <v>917</v>
      </c>
      <c r="X50" s="20" t="s">
        <v>62</v>
      </c>
      <c r="Y50" s="20" t="s">
        <v>918</v>
      </c>
      <c r="Z50" s="20" t="s">
        <v>919</v>
      </c>
      <c r="AA50" s="20" t="s">
        <v>920</v>
      </c>
      <c r="AB50" s="20"/>
      <c r="AC50" s="20" t="s">
        <v>921</v>
      </c>
      <c r="AD50" s="20" t="s">
        <v>922</v>
      </c>
      <c r="AE50" s="20" t="s">
        <v>922</v>
      </c>
      <c r="AF50" s="20" t="s">
        <v>923</v>
      </c>
      <c r="AG50" s="20" t="s">
        <v>924</v>
      </c>
      <c r="AH50" s="20" t="s">
        <v>925</v>
      </c>
      <c r="AI50" s="25" t="str">
        <f>HYPERLINK("mailto:jorge_fernandez@bat.com","jorge_fernandez@bat.com")</f>
        <v>jorge_fernandez@bat.com</v>
      </c>
      <c r="AJ50" s="20" t="s">
        <v>926</v>
      </c>
      <c r="AK50" s="20" t="s">
        <v>927</v>
      </c>
      <c r="AL50" s="20"/>
      <c r="AM50" s="16"/>
      <c r="AN50" s="16"/>
      <c r="AO50" s="16"/>
      <c r="AP50" s="16"/>
      <c r="AQ50" s="16"/>
      <c r="AR50" s="16"/>
      <c r="AS50" s="16"/>
      <c r="AT50" s="16"/>
      <c r="AU50" s="16"/>
      <c r="AV50" s="16"/>
      <c r="AW50" s="16"/>
      <c r="AX50" s="16"/>
      <c r="AY50" s="16"/>
      <c r="AZ50" s="16"/>
      <c r="BA50" s="16"/>
      <c r="BB50" s="16"/>
      <c r="BC50" s="16"/>
      <c r="BD50" s="16"/>
      <c r="BE50" s="16"/>
      <c r="BF50" s="16"/>
    </row>
    <row r="51" ht="60.0" customHeight="1">
      <c r="A51" s="20" t="s">
        <v>928</v>
      </c>
      <c r="B51" s="20" t="s">
        <v>929</v>
      </c>
      <c r="C51" s="20" t="s">
        <v>231</v>
      </c>
      <c r="D51" s="21" t="s">
        <v>48</v>
      </c>
      <c r="E51" s="20" t="s">
        <v>49</v>
      </c>
      <c r="F51" s="20" t="s">
        <v>930</v>
      </c>
      <c r="G51" s="20" t="s">
        <v>931</v>
      </c>
      <c r="H51" s="23">
        <v>43909.0</v>
      </c>
      <c r="I51" s="23">
        <f>'17025 SAL'!$H51+$AN$1</f>
        <v>45369</v>
      </c>
      <c r="J51" s="23">
        <v>40519.0</v>
      </c>
      <c r="K51" s="20"/>
      <c r="L51" s="20" t="s">
        <v>932</v>
      </c>
      <c r="M51" s="20" t="s">
        <v>933</v>
      </c>
      <c r="N51" s="20" t="s">
        <v>934</v>
      </c>
      <c r="O51" s="20" t="s">
        <v>935</v>
      </c>
      <c r="P51" s="35" t="s">
        <v>76</v>
      </c>
      <c r="Q51" s="20" t="s">
        <v>55</v>
      </c>
      <c r="R51" s="20" t="s">
        <v>936</v>
      </c>
      <c r="S51" s="20" t="s">
        <v>57</v>
      </c>
      <c r="T51" s="20">
        <v>3.10226162E9</v>
      </c>
      <c r="U51" s="25" t="str">
        <f>HYPERLINK("http://www.romanasazocar.com;/","www.romanasazocar.com;")</f>
        <v>www.romanasazocar.com;</v>
      </c>
      <c r="V51" s="20" t="s">
        <v>937</v>
      </c>
      <c r="W51" s="20" t="s">
        <v>938</v>
      </c>
      <c r="X51" s="20" t="s">
        <v>62</v>
      </c>
      <c r="Y51" s="20" t="s">
        <v>63</v>
      </c>
      <c r="Z51" s="20" t="s">
        <v>939</v>
      </c>
      <c r="AA51" s="20" t="s">
        <v>936</v>
      </c>
      <c r="AB51" s="20" t="s">
        <v>940</v>
      </c>
      <c r="AC51" s="20" t="s">
        <v>67</v>
      </c>
      <c r="AD51" s="20" t="s">
        <v>941</v>
      </c>
      <c r="AE51" s="20" t="s">
        <v>942</v>
      </c>
      <c r="AF51" s="20" t="s">
        <v>943</v>
      </c>
      <c r="AG51" s="20" t="s">
        <v>936</v>
      </c>
      <c r="AH51" s="20" t="s">
        <v>76</v>
      </c>
      <c r="AI51" s="25" t="str">
        <f>HYPERLINK("mailto:vobregon@azocarcr.com","vobregon@azocarcr.com")</f>
        <v>vobregon@azocarcr.com</v>
      </c>
      <c r="AJ51" s="20" t="s">
        <v>944</v>
      </c>
      <c r="AK51" s="20" t="s">
        <v>945</v>
      </c>
      <c r="AL51" s="20"/>
      <c r="AM51" s="29"/>
      <c r="AN51" s="29"/>
      <c r="AO51" s="29"/>
      <c r="AP51" s="29"/>
      <c r="AQ51" s="29"/>
      <c r="AR51" s="29"/>
      <c r="AS51" s="29"/>
      <c r="AT51" s="29"/>
      <c r="AU51" s="29"/>
      <c r="AV51" s="29"/>
      <c r="AW51" s="29"/>
      <c r="AX51" s="29"/>
      <c r="AY51" s="29"/>
      <c r="AZ51" s="29"/>
      <c r="BA51" s="29"/>
      <c r="BB51" s="29"/>
      <c r="BC51" s="29"/>
      <c r="BD51" s="29"/>
      <c r="BE51" s="29"/>
      <c r="BF51" s="29"/>
    </row>
    <row r="52" ht="60.0" customHeight="1">
      <c r="A52" s="20" t="s">
        <v>946</v>
      </c>
      <c r="B52" s="20" t="s">
        <v>946</v>
      </c>
      <c r="C52" s="20" t="s">
        <v>47</v>
      </c>
      <c r="D52" s="21" t="s">
        <v>48</v>
      </c>
      <c r="E52" s="20" t="s">
        <v>49</v>
      </c>
      <c r="F52" s="20" t="s">
        <v>947</v>
      </c>
      <c r="G52" s="20" t="s">
        <v>761</v>
      </c>
      <c r="H52" s="23">
        <v>45407.0</v>
      </c>
      <c r="I52" s="23">
        <f>'17025 SAL'!$H52+$AN$1</f>
        <v>46867</v>
      </c>
      <c r="J52" s="23">
        <v>39791.0</v>
      </c>
      <c r="K52" s="20"/>
      <c r="L52" s="20" t="s">
        <v>948</v>
      </c>
      <c r="M52" s="20" t="s">
        <v>949</v>
      </c>
      <c r="N52" s="20" t="s">
        <v>950</v>
      </c>
      <c r="O52" s="20" t="s">
        <v>951</v>
      </c>
      <c r="P52" s="20" t="s">
        <v>952</v>
      </c>
      <c r="Q52" s="20" t="s">
        <v>55</v>
      </c>
      <c r="R52" s="20" t="s">
        <v>953</v>
      </c>
      <c r="S52" s="20" t="s">
        <v>490</v>
      </c>
      <c r="T52" s="20" t="s">
        <v>954</v>
      </c>
      <c r="U52" s="25" t="str">
        <f>HYPERLINK("http://www.cemexcostarica.com/","www.cemexcostarica.com")</f>
        <v>www.cemexcostarica.com</v>
      </c>
      <c r="V52" s="20" t="s">
        <v>955</v>
      </c>
      <c r="W52" s="62" t="s">
        <v>956</v>
      </c>
      <c r="X52" s="20" t="s">
        <v>957</v>
      </c>
      <c r="Y52" s="20" t="s">
        <v>958</v>
      </c>
      <c r="Z52" s="20" t="s">
        <v>959</v>
      </c>
      <c r="AA52" s="20" t="s">
        <v>960</v>
      </c>
      <c r="AB52" s="20"/>
      <c r="AC52" s="20" t="s">
        <v>961</v>
      </c>
      <c r="AD52" s="20" t="s">
        <v>962</v>
      </c>
      <c r="AE52" s="20" t="s">
        <v>962</v>
      </c>
      <c r="AF52" s="20" t="s">
        <v>963</v>
      </c>
      <c r="AG52" s="20" t="s">
        <v>964</v>
      </c>
      <c r="AH52" s="20" t="s">
        <v>965</v>
      </c>
      <c r="AI52" s="25" t="s">
        <v>966</v>
      </c>
      <c r="AJ52" s="20" t="s">
        <v>967</v>
      </c>
      <c r="AK52" s="20" t="s">
        <v>968</v>
      </c>
      <c r="AL52" s="20"/>
      <c r="AM52" s="29"/>
      <c r="AN52" s="29"/>
      <c r="AO52" s="29"/>
      <c r="AP52" s="29"/>
      <c r="AQ52" s="29"/>
      <c r="AR52" s="29"/>
      <c r="AS52" s="29"/>
      <c r="AT52" s="29"/>
      <c r="AU52" s="29"/>
      <c r="AV52" s="29"/>
      <c r="AW52" s="29"/>
      <c r="AX52" s="29"/>
      <c r="AY52" s="29"/>
      <c r="AZ52" s="29"/>
      <c r="BA52" s="29"/>
      <c r="BB52" s="29"/>
      <c r="BC52" s="29"/>
      <c r="BD52" s="29"/>
      <c r="BE52" s="29"/>
      <c r="BF52" s="29"/>
    </row>
    <row r="53" ht="60.0" customHeight="1">
      <c r="A53" s="20" t="s">
        <v>969</v>
      </c>
      <c r="B53" s="20" t="s">
        <v>970</v>
      </c>
      <c r="C53" s="20" t="s">
        <v>47</v>
      </c>
      <c r="D53" s="21" t="s">
        <v>48</v>
      </c>
      <c r="E53" s="20" t="s">
        <v>49</v>
      </c>
      <c r="F53" s="20" t="s">
        <v>971</v>
      </c>
      <c r="G53" s="20" t="s">
        <v>721</v>
      </c>
      <c r="H53" s="23">
        <v>44260.0</v>
      </c>
      <c r="I53" s="23">
        <f>'17025 SAL'!$H53+$AN$1</f>
        <v>45720</v>
      </c>
      <c r="J53" s="23">
        <v>39791.0</v>
      </c>
      <c r="K53" s="20" t="s">
        <v>972</v>
      </c>
      <c r="L53" s="20" t="s">
        <v>973</v>
      </c>
      <c r="M53" s="38" t="s">
        <v>974</v>
      </c>
      <c r="N53" s="25" t="s">
        <v>975</v>
      </c>
      <c r="O53" s="20" t="s">
        <v>976</v>
      </c>
      <c r="P53" s="20" t="s">
        <v>977</v>
      </c>
      <c r="Q53" s="20" t="s">
        <v>55</v>
      </c>
      <c r="R53" s="20" t="s">
        <v>978</v>
      </c>
      <c r="S53" s="20" t="s">
        <v>979</v>
      </c>
      <c r="T53" s="20" t="s">
        <v>980</v>
      </c>
      <c r="U53" s="25" t="str">
        <f>HYPERLINK("http://www.dospinos.com/","www.dospinos.com ")</f>
        <v>www.dospinos.com </v>
      </c>
      <c r="V53" s="20" t="s">
        <v>981</v>
      </c>
      <c r="W53" s="26" t="s">
        <v>982</v>
      </c>
      <c r="X53" s="20" t="s">
        <v>62</v>
      </c>
      <c r="Y53" s="20" t="s">
        <v>63</v>
      </c>
      <c r="Z53" s="20" t="s">
        <v>983</v>
      </c>
      <c r="AA53" s="20" t="s">
        <v>984</v>
      </c>
      <c r="AB53" s="20"/>
      <c r="AC53" s="20" t="s">
        <v>985</v>
      </c>
      <c r="AD53" s="20" t="s">
        <v>986</v>
      </c>
      <c r="AE53" s="20" t="s">
        <v>987</v>
      </c>
      <c r="AF53" s="20" t="s">
        <v>988</v>
      </c>
      <c r="AG53" s="20" t="s">
        <v>978</v>
      </c>
      <c r="AH53" s="20" t="s">
        <v>977</v>
      </c>
      <c r="AI53" s="25" t="str">
        <f>HYPERLINK("mailto:rbrenes@dospinos.com;","rbrenes@dospinos.com;")</f>
        <v>rbrenes@dospinos.com;</v>
      </c>
      <c r="AJ53" s="20" t="s">
        <v>989</v>
      </c>
      <c r="AK53" s="20" t="s">
        <v>990</v>
      </c>
      <c r="AL53" s="20" t="s">
        <v>991</v>
      </c>
      <c r="AM53" s="16"/>
      <c r="AN53" s="16"/>
      <c r="AO53" s="16"/>
      <c r="AP53" s="16"/>
      <c r="AQ53" s="16"/>
      <c r="AR53" s="16"/>
      <c r="AS53" s="16"/>
      <c r="AT53" s="16"/>
      <c r="AU53" s="16"/>
      <c r="AV53" s="16"/>
      <c r="AW53" s="16"/>
      <c r="AX53" s="16"/>
      <c r="AY53" s="16"/>
      <c r="AZ53" s="16"/>
      <c r="BA53" s="16"/>
      <c r="BB53" s="16"/>
      <c r="BC53" s="16"/>
      <c r="BD53" s="16"/>
      <c r="BE53" s="16"/>
      <c r="BF53" s="16"/>
    </row>
    <row r="54" ht="60.0" customHeight="1">
      <c r="A54" s="20" t="s">
        <v>992</v>
      </c>
      <c r="B54" s="20"/>
      <c r="C54" s="20" t="s">
        <v>47</v>
      </c>
      <c r="D54" s="21" t="s">
        <v>213</v>
      </c>
      <c r="E54" s="20" t="s">
        <v>49</v>
      </c>
      <c r="F54" s="20" t="s">
        <v>993</v>
      </c>
      <c r="G54" s="20" t="s">
        <v>823</v>
      </c>
      <c r="H54" s="20"/>
      <c r="I54" s="23">
        <f>'17025 SAL'!$H54+$AN$1</f>
        <v>1460</v>
      </c>
      <c r="J54" s="23">
        <v>40036.0</v>
      </c>
      <c r="K54" s="20"/>
      <c r="L54" s="20" t="s">
        <v>994</v>
      </c>
      <c r="M54" s="48" t="str">
        <f>HYPERLINK("mailto:giselle.morera@Fifco.com;","giselle.morera@Fifco.com; ")</f>
        <v>giselle.morera@Fifco.com; </v>
      </c>
      <c r="N54" s="48" t="str">
        <f>HYPERLINK("mailto:gustavo.lopez@fifco.com","gustavo.lopez@fifco.com")</f>
        <v>gustavo.lopez@fifco.com</v>
      </c>
      <c r="O54" s="20" t="s">
        <v>995</v>
      </c>
      <c r="P54" s="20" t="s">
        <v>996</v>
      </c>
      <c r="Q54" s="20" t="s">
        <v>55</v>
      </c>
      <c r="R54" s="20" t="s">
        <v>997</v>
      </c>
      <c r="S54" s="20"/>
      <c r="T54" s="26" t="s">
        <v>998</v>
      </c>
      <c r="U54" s="25" t="str">
        <f>HYPERLINK("http://www.florida.co.cr/","www.florida.co.cr")</f>
        <v>www.florida.co.cr</v>
      </c>
      <c r="V54" s="20" t="s">
        <v>999</v>
      </c>
      <c r="W54" s="20" t="s">
        <v>1000</v>
      </c>
      <c r="X54" s="20" t="s">
        <v>62</v>
      </c>
      <c r="Y54" s="20" t="s">
        <v>63</v>
      </c>
      <c r="Z54" s="20" t="s">
        <v>1001</v>
      </c>
      <c r="AA54" s="20" t="s">
        <v>1002</v>
      </c>
      <c r="AB54" s="20"/>
      <c r="AC54" s="20" t="s">
        <v>1003</v>
      </c>
      <c r="AD54" s="20" t="s">
        <v>1004</v>
      </c>
      <c r="AE54" s="20" t="s">
        <v>1005</v>
      </c>
      <c r="AF54" s="20">
        <v>2.4377179E7</v>
      </c>
      <c r="AG54" s="20" t="s">
        <v>997</v>
      </c>
      <c r="AH54" s="20">
        <v>2.4310584E7</v>
      </c>
      <c r="AI54" s="25" t="str">
        <f>HYPERLINK("mailto:ronney.lemaire@Fifco.com","ronney.lemaire@Fifco.com")</f>
        <v>ronney.lemaire@Fifco.com</v>
      </c>
      <c r="AJ54" s="20" t="s">
        <v>1006</v>
      </c>
      <c r="AK54" s="20" t="s">
        <v>1005</v>
      </c>
      <c r="AL54" s="20" t="s">
        <v>1007</v>
      </c>
      <c r="AM54" s="16"/>
      <c r="AN54" s="16"/>
      <c r="AO54" s="16"/>
      <c r="AP54" s="16"/>
      <c r="AQ54" s="16"/>
      <c r="AR54" s="16"/>
      <c r="AS54" s="16"/>
      <c r="AT54" s="16"/>
      <c r="AU54" s="16"/>
      <c r="AV54" s="16"/>
      <c r="AW54" s="16"/>
      <c r="AX54" s="16"/>
      <c r="AY54" s="16"/>
      <c r="AZ54" s="16"/>
      <c r="BA54" s="16"/>
      <c r="BB54" s="16"/>
      <c r="BC54" s="16"/>
      <c r="BD54" s="16"/>
      <c r="BE54" s="16"/>
      <c r="BF54" s="16"/>
    </row>
    <row r="55" ht="60.0" customHeight="1">
      <c r="A55" s="20" t="s">
        <v>1008</v>
      </c>
      <c r="B55" s="20"/>
      <c r="C55" s="20" t="s">
        <v>47</v>
      </c>
      <c r="D55" s="21" t="s">
        <v>213</v>
      </c>
      <c r="E55" s="20" t="s">
        <v>49</v>
      </c>
      <c r="F55" s="20" t="s">
        <v>1009</v>
      </c>
      <c r="G55" s="20" t="s">
        <v>971</v>
      </c>
      <c r="H55" s="20"/>
      <c r="I55" s="23">
        <f>'17025 SAL'!$H55+$AN$1</f>
        <v>1460</v>
      </c>
      <c r="J55" s="23">
        <v>40246.0</v>
      </c>
      <c r="K55" s="20"/>
      <c r="L55" s="20" t="s">
        <v>1010</v>
      </c>
      <c r="M55" s="31" t="s">
        <v>1011</v>
      </c>
      <c r="N55" s="24" t="s">
        <v>1012</v>
      </c>
      <c r="O55" s="20" t="s">
        <v>1013</v>
      </c>
      <c r="P55" s="20" t="s">
        <v>1014</v>
      </c>
      <c r="Q55" s="20" t="s">
        <v>661</v>
      </c>
      <c r="R55" s="20" t="s">
        <v>1015</v>
      </c>
      <c r="S55" s="20" t="s">
        <v>1016</v>
      </c>
      <c r="T55" s="20" t="s">
        <v>1017</v>
      </c>
      <c r="U55" s="25" t="str">
        <f>HYPERLINK("http://www.mcfarmaceutica.com;/","www.mcfarmaceutica.com; ")</f>
        <v>www.mcfarmaceutica.com; </v>
      </c>
      <c r="V55" s="20" t="s">
        <v>1018</v>
      </c>
      <c r="W55" s="20" t="s">
        <v>1019</v>
      </c>
      <c r="X55" s="20" t="s">
        <v>62</v>
      </c>
      <c r="Y55" s="20" t="s">
        <v>666</v>
      </c>
      <c r="Z55" s="20" t="s">
        <v>1020</v>
      </c>
      <c r="AA55" s="20" t="s">
        <v>1015</v>
      </c>
      <c r="AB55" s="20"/>
      <c r="AC55" s="20" t="s">
        <v>67</v>
      </c>
      <c r="AD55" s="20" t="s">
        <v>1021</v>
      </c>
      <c r="AE55" s="20" t="s">
        <v>1022</v>
      </c>
      <c r="AF55" s="20" t="s">
        <v>1023</v>
      </c>
      <c r="AG55" s="20" t="s">
        <v>1024</v>
      </c>
      <c r="AH55" s="20" t="s">
        <v>1025</v>
      </c>
      <c r="AI55" s="25" t="str">
        <f>HYPERLINK("mailto:ahernandezmc@hotmail.com","ahernandezmc@hotmail.com")</f>
        <v>ahernandezmc@hotmail.com</v>
      </c>
      <c r="AJ55" s="20" t="s">
        <v>1026</v>
      </c>
      <c r="AK55" s="20" t="s">
        <v>1008</v>
      </c>
      <c r="AL55" s="20" t="s">
        <v>1027</v>
      </c>
      <c r="AM55" s="16"/>
      <c r="AN55" s="16"/>
      <c r="AO55" s="16"/>
      <c r="AP55" s="16"/>
      <c r="AQ55" s="16"/>
      <c r="AR55" s="16"/>
      <c r="AS55" s="16"/>
      <c r="AT55" s="16"/>
      <c r="AU55" s="16"/>
      <c r="AV55" s="16"/>
      <c r="AW55" s="16"/>
      <c r="AX55" s="16"/>
      <c r="AY55" s="16"/>
      <c r="AZ55" s="16"/>
      <c r="BA55" s="16"/>
      <c r="BB55" s="16"/>
      <c r="BC55" s="16"/>
      <c r="BD55" s="16"/>
      <c r="BE55" s="16"/>
      <c r="BF55" s="16"/>
    </row>
    <row r="56" ht="60.0" customHeight="1">
      <c r="A56" s="20" t="s">
        <v>1028</v>
      </c>
      <c r="B56" s="20"/>
      <c r="C56" s="20" t="s">
        <v>47</v>
      </c>
      <c r="D56" s="21" t="s">
        <v>213</v>
      </c>
      <c r="E56" s="20" t="s">
        <v>49</v>
      </c>
      <c r="F56" s="20" t="s">
        <v>484</v>
      </c>
      <c r="G56" s="20" t="s">
        <v>841</v>
      </c>
      <c r="H56" s="20"/>
      <c r="I56" s="23">
        <f>'17025 SAL'!$H56+$AN$1</f>
        <v>1460</v>
      </c>
      <c r="J56" s="23">
        <v>40072.0</v>
      </c>
      <c r="K56" s="20"/>
      <c r="L56" s="26" t="s">
        <v>1029</v>
      </c>
      <c r="M56" s="48" t="str">
        <f>HYPERLINK("mailto:jordanlab@sulanet.net;","gerencia@jordanlab.com; jordanlab@sulanet.net; ")</f>
        <v>gerencia@jordanlab.com; jordanlab@sulanet.net; </v>
      </c>
      <c r="N56" s="63"/>
      <c r="O56" s="26" t="s">
        <v>1030</v>
      </c>
      <c r="P56" s="26" t="s">
        <v>1031</v>
      </c>
      <c r="Q56" s="20" t="s">
        <v>661</v>
      </c>
      <c r="R56" s="26" t="s">
        <v>1032</v>
      </c>
      <c r="S56" s="26" t="s">
        <v>914</v>
      </c>
      <c r="T56" s="20">
        <v>5.019003084077E12</v>
      </c>
      <c r="U56" s="25" t="str">
        <f>HYPERLINK("http://www.jordanlab.com;/","www.jordanlab.com;")</f>
        <v>www.jordanlab.com;</v>
      </c>
      <c r="V56" s="26" t="s">
        <v>1029</v>
      </c>
      <c r="W56" s="26" t="s">
        <v>1033</v>
      </c>
      <c r="X56" s="26" t="s">
        <v>84</v>
      </c>
      <c r="Y56" s="26" t="s">
        <v>666</v>
      </c>
      <c r="Z56" s="26" t="s">
        <v>1034</v>
      </c>
      <c r="AA56" s="26" t="s">
        <v>1035</v>
      </c>
      <c r="AB56" s="26"/>
      <c r="AC56" s="26" t="s">
        <v>67</v>
      </c>
      <c r="AD56" s="24" t="s">
        <v>67</v>
      </c>
      <c r="AE56" s="20" t="s">
        <v>1036</v>
      </c>
      <c r="AF56" s="26" t="s">
        <v>1030</v>
      </c>
      <c r="AG56" s="26" t="s">
        <v>1035</v>
      </c>
      <c r="AH56" s="26" t="s">
        <v>1037</v>
      </c>
      <c r="AI56" s="25" t="s">
        <v>1038</v>
      </c>
      <c r="AJ56" s="26" t="s">
        <v>1039</v>
      </c>
      <c r="AK56" s="20" t="s">
        <v>1028</v>
      </c>
      <c r="AL56" s="26" t="s">
        <v>1040</v>
      </c>
      <c r="AM56" s="29"/>
      <c r="AN56" s="29"/>
      <c r="AO56" s="29"/>
      <c r="AP56" s="29"/>
      <c r="AQ56" s="29"/>
      <c r="AR56" s="29"/>
      <c r="AS56" s="29"/>
      <c r="AT56" s="29"/>
      <c r="AU56" s="29"/>
      <c r="AV56" s="29"/>
      <c r="AW56" s="29"/>
      <c r="AX56" s="29"/>
      <c r="AY56" s="29"/>
      <c r="AZ56" s="29"/>
      <c r="BA56" s="29"/>
      <c r="BB56" s="29"/>
      <c r="BC56" s="29"/>
      <c r="BD56" s="29"/>
      <c r="BE56" s="29"/>
      <c r="BF56" s="29"/>
    </row>
    <row r="57" ht="60.0" customHeight="1">
      <c r="A57" s="20" t="s">
        <v>1041</v>
      </c>
      <c r="B57" s="20" t="s">
        <v>1042</v>
      </c>
      <c r="C57" s="20" t="s">
        <v>231</v>
      </c>
      <c r="D57" s="21" t="s">
        <v>48</v>
      </c>
      <c r="E57" s="20" t="s">
        <v>49</v>
      </c>
      <c r="F57" s="20" t="s">
        <v>1043</v>
      </c>
      <c r="G57" s="20" t="s">
        <v>1044</v>
      </c>
      <c r="H57" s="23">
        <v>44182.0</v>
      </c>
      <c r="I57" s="23">
        <f>'17025 SAL'!$H57+$AN$1</f>
        <v>45642</v>
      </c>
      <c r="J57" s="23">
        <v>40491.0</v>
      </c>
      <c r="K57" s="20"/>
      <c r="L57" s="24" t="s">
        <v>1045</v>
      </c>
      <c r="M57" s="24" t="s">
        <v>1046</v>
      </c>
      <c r="N57" s="24" t="s">
        <v>1047</v>
      </c>
      <c r="O57" s="20" t="s">
        <v>1048</v>
      </c>
      <c r="P57" s="20" t="s">
        <v>1049</v>
      </c>
      <c r="Q57" s="20" t="s">
        <v>55</v>
      </c>
      <c r="R57" s="20" t="s">
        <v>1050</v>
      </c>
      <c r="S57" s="20" t="s">
        <v>57</v>
      </c>
      <c r="T57" s="20" t="s">
        <v>1051</v>
      </c>
      <c r="U57" s="25" t="str">
        <f>HYPERLINK("http://www.dmimetrologia.com/","www.dmimetrologia.com")</f>
        <v>www.dmimetrologia.com</v>
      </c>
      <c r="V57" s="20" t="s">
        <v>1052</v>
      </c>
      <c r="W57" s="20" t="s">
        <v>1053</v>
      </c>
      <c r="X57" s="20" t="s">
        <v>62</v>
      </c>
      <c r="Y57" s="20" t="s">
        <v>63</v>
      </c>
      <c r="Z57" s="20" t="s">
        <v>793</v>
      </c>
      <c r="AA57" s="20" t="s">
        <v>1054</v>
      </c>
      <c r="AB57" s="20"/>
      <c r="AC57" s="20" t="s">
        <v>1055</v>
      </c>
      <c r="AD57" s="20" t="s">
        <v>1056</v>
      </c>
      <c r="AE57" s="20" t="s">
        <v>1057</v>
      </c>
      <c r="AF57" s="20" t="s">
        <v>1048</v>
      </c>
      <c r="AG57" s="20" t="s">
        <v>1054</v>
      </c>
      <c r="AH57" s="20" t="s">
        <v>1058</v>
      </c>
      <c r="AI57" s="34" t="s">
        <v>1059</v>
      </c>
      <c r="AJ57" s="20" t="s">
        <v>577</v>
      </c>
      <c r="AK57" s="20" t="s">
        <v>1060</v>
      </c>
      <c r="AL57" s="20" t="s">
        <v>1061</v>
      </c>
      <c r="AM57" s="16"/>
      <c r="AN57" s="16"/>
      <c r="AO57" s="16"/>
      <c r="AP57" s="16"/>
      <c r="AQ57" s="16"/>
      <c r="AR57" s="16"/>
      <c r="AS57" s="16"/>
      <c r="AT57" s="16"/>
      <c r="AU57" s="16"/>
      <c r="AV57" s="16"/>
      <c r="AW57" s="16"/>
      <c r="AX57" s="16"/>
      <c r="AY57" s="16"/>
      <c r="AZ57" s="16"/>
      <c r="BA57" s="16"/>
      <c r="BB57" s="16"/>
      <c r="BC57" s="16"/>
      <c r="BD57" s="16"/>
      <c r="BE57" s="16"/>
      <c r="BF57" s="16"/>
    </row>
    <row r="58" ht="60.0" customHeight="1">
      <c r="A58" s="20" t="s">
        <v>1062</v>
      </c>
      <c r="B58" s="20" t="s">
        <v>1063</v>
      </c>
      <c r="C58" s="20" t="s">
        <v>231</v>
      </c>
      <c r="D58" s="21" t="s">
        <v>48</v>
      </c>
      <c r="E58" s="20" t="s">
        <v>49</v>
      </c>
      <c r="F58" s="20" t="s">
        <v>1064</v>
      </c>
      <c r="G58" s="20" t="s">
        <v>891</v>
      </c>
      <c r="H58" s="23">
        <v>43850.0</v>
      </c>
      <c r="I58" s="23">
        <f>'17025 SAL'!$H58+$AN$1</f>
        <v>45310</v>
      </c>
      <c r="J58" s="23">
        <v>40099.0</v>
      </c>
      <c r="K58" s="20"/>
      <c r="L58" s="20" t="s">
        <v>1065</v>
      </c>
      <c r="M58" s="24" t="s">
        <v>1066</v>
      </c>
      <c r="N58" s="49" t="s">
        <v>1067</v>
      </c>
      <c r="O58" s="20" t="s">
        <v>1068</v>
      </c>
      <c r="P58" s="20" t="s">
        <v>1069</v>
      </c>
      <c r="Q58" s="20" t="s">
        <v>55</v>
      </c>
      <c r="R58" s="20" t="s">
        <v>1070</v>
      </c>
      <c r="S58" s="20" t="s">
        <v>57</v>
      </c>
      <c r="T58" s="20" t="s">
        <v>1071</v>
      </c>
      <c r="U58" s="49" t="s">
        <v>1072</v>
      </c>
      <c r="V58" s="20" t="s">
        <v>1065</v>
      </c>
      <c r="W58" s="20" t="s">
        <v>1073</v>
      </c>
      <c r="X58" s="20" t="s">
        <v>529</v>
      </c>
      <c r="Y58" s="20" t="s">
        <v>85</v>
      </c>
      <c r="Z58" s="20" t="s">
        <v>1074</v>
      </c>
      <c r="AA58" s="20" t="s">
        <v>1075</v>
      </c>
      <c r="AB58" s="20"/>
      <c r="AC58" s="20" t="s">
        <v>1076</v>
      </c>
      <c r="AD58" s="20" t="s">
        <v>1077</v>
      </c>
      <c r="AE58" s="20" t="s">
        <v>1078</v>
      </c>
      <c r="AF58" s="20" t="s">
        <v>1068</v>
      </c>
      <c r="AG58" s="20" t="s">
        <v>1075</v>
      </c>
      <c r="AH58" s="20" t="s">
        <v>1068</v>
      </c>
      <c r="AI58" s="25" t="s">
        <v>1079</v>
      </c>
      <c r="AJ58" s="20" t="s">
        <v>577</v>
      </c>
      <c r="AK58" s="20" t="s">
        <v>1062</v>
      </c>
      <c r="AL58" s="20" t="s">
        <v>1080</v>
      </c>
      <c r="AM58" s="29"/>
      <c r="AN58" s="29"/>
      <c r="AO58" s="29"/>
      <c r="AP58" s="29"/>
      <c r="AQ58" s="29"/>
      <c r="AR58" s="29"/>
      <c r="AS58" s="29"/>
      <c r="AT58" s="29"/>
      <c r="AU58" s="29"/>
      <c r="AV58" s="29"/>
      <c r="AW58" s="29"/>
      <c r="AX58" s="29"/>
      <c r="AY58" s="29"/>
      <c r="AZ58" s="29"/>
      <c r="BA58" s="29"/>
      <c r="BB58" s="29"/>
      <c r="BC58" s="29"/>
      <c r="BD58" s="29"/>
      <c r="BE58" s="29"/>
      <c r="BF58" s="29"/>
    </row>
    <row r="59" ht="60.0" customHeight="1">
      <c r="A59" s="26" t="s">
        <v>1081</v>
      </c>
      <c r="B59" s="26"/>
      <c r="C59" s="24" t="s">
        <v>47</v>
      </c>
      <c r="D59" s="21" t="s">
        <v>213</v>
      </c>
      <c r="E59" s="24" t="s">
        <v>49</v>
      </c>
      <c r="F59" s="24" t="s">
        <v>1082</v>
      </c>
      <c r="G59" s="24" t="s">
        <v>856</v>
      </c>
      <c r="H59" s="24"/>
      <c r="I59" s="54">
        <f>'17025 SAL'!$H59+$AN$1</f>
        <v>1460</v>
      </c>
      <c r="J59" s="54">
        <v>40085.0</v>
      </c>
      <c r="K59" s="24"/>
      <c r="L59" s="24" t="s">
        <v>1083</v>
      </c>
      <c r="M59" s="64" t="s">
        <v>1084</v>
      </c>
      <c r="N59" s="65"/>
      <c r="O59" s="24" t="s">
        <v>1085</v>
      </c>
      <c r="P59" s="24" t="s">
        <v>1086</v>
      </c>
      <c r="Q59" s="24" t="s">
        <v>661</v>
      </c>
      <c r="R59" s="26" t="s">
        <v>1087</v>
      </c>
      <c r="S59" s="24" t="s">
        <v>1016</v>
      </c>
      <c r="T59" s="24" t="s">
        <v>1088</v>
      </c>
      <c r="U59" s="24" t="s">
        <v>730</v>
      </c>
      <c r="V59" s="24" t="s">
        <v>1083</v>
      </c>
      <c r="W59" s="24">
        <v>5.01195700399E11</v>
      </c>
      <c r="X59" s="24" t="s">
        <v>304</v>
      </c>
      <c r="Y59" s="24" t="s">
        <v>666</v>
      </c>
      <c r="Z59" s="26" t="s">
        <v>1089</v>
      </c>
      <c r="AA59" s="26" t="s">
        <v>1087</v>
      </c>
      <c r="AB59" s="26"/>
      <c r="AC59" s="24" t="s">
        <v>1055</v>
      </c>
      <c r="AD59" s="24" t="s">
        <v>1083</v>
      </c>
      <c r="AE59" s="26" t="s">
        <v>1090</v>
      </c>
      <c r="AF59" s="24" t="s">
        <v>1086</v>
      </c>
      <c r="AG59" s="26" t="s">
        <v>1087</v>
      </c>
      <c r="AH59" s="24" t="s">
        <v>1086</v>
      </c>
      <c r="AI59" s="55" t="str">
        <f>HYPERLINK("mailto:patricia.villafranca@labmq.com;","patricia.villafranca@labmq.com;")</f>
        <v>patricia.villafranca@labmq.com;</v>
      </c>
      <c r="AJ59" s="24" t="s">
        <v>1091</v>
      </c>
      <c r="AK59" s="26" t="s">
        <v>1081</v>
      </c>
      <c r="AL59" s="24" t="s">
        <v>1092</v>
      </c>
      <c r="AM59" s="29"/>
      <c r="AN59" s="29"/>
      <c r="AO59" s="29"/>
      <c r="AP59" s="29"/>
      <c r="AQ59" s="29"/>
      <c r="AR59" s="29"/>
      <c r="AS59" s="29"/>
      <c r="AT59" s="29"/>
      <c r="AU59" s="29"/>
      <c r="AV59" s="29"/>
      <c r="AW59" s="29"/>
      <c r="AX59" s="29"/>
      <c r="AY59" s="29"/>
      <c r="AZ59" s="29"/>
      <c r="BA59" s="29"/>
      <c r="BB59" s="29"/>
      <c r="BC59" s="29"/>
      <c r="BD59" s="29"/>
      <c r="BE59" s="29"/>
      <c r="BF59" s="29"/>
    </row>
    <row r="60" ht="60.0" customHeight="1">
      <c r="A60" s="20" t="s">
        <v>1093</v>
      </c>
      <c r="B60" s="20"/>
      <c r="C60" s="20" t="s">
        <v>47</v>
      </c>
      <c r="D60" s="21" t="s">
        <v>48</v>
      </c>
      <c r="E60" s="20" t="s">
        <v>49</v>
      </c>
      <c r="F60" s="20" t="s">
        <v>1094</v>
      </c>
      <c r="G60" s="20" t="s">
        <v>1095</v>
      </c>
      <c r="H60" s="23">
        <v>45128.0</v>
      </c>
      <c r="I60" s="23">
        <f>'17025 SAL'!$H60+$AN$1</f>
        <v>46588</v>
      </c>
      <c r="J60" s="23">
        <v>40421.0</v>
      </c>
      <c r="K60" s="20"/>
      <c r="L60" s="20" t="s">
        <v>1096</v>
      </c>
      <c r="M60" s="24" t="s">
        <v>1097</v>
      </c>
      <c r="N60" s="24" t="s">
        <v>1098</v>
      </c>
      <c r="O60" s="20" t="s">
        <v>1099</v>
      </c>
      <c r="P60" s="20" t="s">
        <v>1100</v>
      </c>
      <c r="Q60" s="20" t="s">
        <v>55</v>
      </c>
      <c r="R60" s="20" t="s">
        <v>1101</v>
      </c>
      <c r="S60" s="20" t="s">
        <v>57</v>
      </c>
      <c r="T60" s="20" t="s">
        <v>1102</v>
      </c>
      <c r="U60" s="20" t="s">
        <v>324</v>
      </c>
      <c r="V60" s="20" t="s">
        <v>1103</v>
      </c>
      <c r="W60" s="20" t="s">
        <v>1104</v>
      </c>
      <c r="X60" s="20"/>
      <c r="Y60" s="20" t="s">
        <v>85</v>
      </c>
      <c r="Z60" s="20" t="s">
        <v>1105</v>
      </c>
      <c r="AA60" s="20" t="s">
        <v>1101</v>
      </c>
      <c r="AB60" s="20"/>
      <c r="AC60" s="20" t="s">
        <v>1106</v>
      </c>
      <c r="AD60" s="20" t="s">
        <v>1107</v>
      </c>
      <c r="AE60" s="20" t="s">
        <v>1093</v>
      </c>
      <c r="AF60" s="20" t="s">
        <v>1108</v>
      </c>
      <c r="AG60" s="20" t="s">
        <v>1101</v>
      </c>
      <c r="AH60" s="20" t="s">
        <v>1100</v>
      </c>
      <c r="AI60" s="25" t="s">
        <v>1109</v>
      </c>
      <c r="AJ60" s="20" t="s">
        <v>577</v>
      </c>
      <c r="AK60" s="20" t="s">
        <v>1093</v>
      </c>
      <c r="AL60" s="20" t="s">
        <v>1110</v>
      </c>
      <c r="AM60" s="29"/>
      <c r="AN60" s="29"/>
      <c r="AO60" s="29"/>
      <c r="AP60" s="29"/>
      <c r="AQ60" s="29"/>
      <c r="AR60" s="29"/>
      <c r="AS60" s="29"/>
      <c r="AT60" s="29"/>
      <c r="AU60" s="29"/>
      <c r="AV60" s="29"/>
      <c r="AW60" s="29"/>
      <c r="AX60" s="29"/>
      <c r="AY60" s="29"/>
      <c r="AZ60" s="29"/>
      <c r="BA60" s="29"/>
      <c r="BB60" s="29"/>
      <c r="BC60" s="29"/>
      <c r="BD60" s="29"/>
      <c r="BE60" s="29"/>
      <c r="BF60" s="29"/>
    </row>
    <row r="61" ht="60.0" customHeight="1">
      <c r="A61" s="20" t="s">
        <v>1111</v>
      </c>
      <c r="B61" s="20" t="s">
        <v>1112</v>
      </c>
      <c r="C61" s="20" t="s">
        <v>47</v>
      </c>
      <c r="D61" s="21" t="s">
        <v>48</v>
      </c>
      <c r="E61" s="20" t="s">
        <v>49</v>
      </c>
      <c r="F61" s="20" t="s">
        <v>1095</v>
      </c>
      <c r="G61" s="20" t="s">
        <v>1113</v>
      </c>
      <c r="H61" s="23">
        <v>43907.0</v>
      </c>
      <c r="I61" s="23">
        <f>'17025 SAL'!$H61+$AN$1</f>
        <v>45367</v>
      </c>
      <c r="J61" s="23">
        <v>40036.0</v>
      </c>
      <c r="K61" s="20"/>
      <c r="L61" s="20" t="s">
        <v>1114</v>
      </c>
      <c r="M61" s="38" t="s">
        <v>1115</v>
      </c>
      <c r="N61" s="34" t="s">
        <v>1116</v>
      </c>
      <c r="O61" s="20" t="s">
        <v>1117</v>
      </c>
      <c r="P61" s="20" t="s">
        <v>1118</v>
      </c>
      <c r="Q61" s="20" t="s">
        <v>55</v>
      </c>
      <c r="R61" s="20" t="s">
        <v>1119</v>
      </c>
      <c r="S61" s="20" t="s">
        <v>57</v>
      </c>
      <c r="T61" s="20" t="s">
        <v>323</v>
      </c>
      <c r="U61" s="25" t="str">
        <f>HYPERLINK("http://www.ingeotec-cr.com/","www.ingeotec-cr.com")</f>
        <v>www.ingeotec-cr.com</v>
      </c>
      <c r="V61" s="20" t="s">
        <v>1120</v>
      </c>
      <c r="W61" s="20" t="s">
        <v>1121</v>
      </c>
      <c r="X61" s="20" t="s">
        <v>62</v>
      </c>
      <c r="Y61" s="20" t="s">
        <v>85</v>
      </c>
      <c r="Z61" s="20" t="s">
        <v>411</v>
      </c>
      <c r="AA61" s="20" t="s">
        <v>1122</v>
      </c>
      <c r="AB61" s="35" t="s">
        <v>1115</v>
      </c>
      <c r="AC61" s="20" t="s">
        <v>285</v>
      </c>
      <c r="AD61" s="20" t="s">
        <v>1123</v>
      </c>
      <c r="AE61" s="20" t="s">
        <v>1124</v>
      </c>
      <c r="AF61" s="20" t="s">
        <v>1125</v>
      </c>
      <c r="AG61" s="20" t="s">
        <v>1122</v>
      </c>
      <c r="AH61" s="20" t="s">
        <v>1118</v>
      </c>
      <c r="AI61" s="25" t="s">
        <v>1126</v>
      </c>
      <c r="AJ61" s="20" t="s">
        <v>1127</v>
      </c>
      <c r="AK61" s="20" t="s">
        <v>1111</v>
      </c>
      <c r="AL61" s="20"/>
      <c r="AM61" s="16"/>
      <c r="AN61" s="16"/>
      <c r="AO61" s="16"/>
      <c r="AP61" s="16"/>
      <c r="AQ61" s="16"/>
      <c r="AR61" s="16"/>
      <c r="AS61" s="16"/>
      <c r="AT61" s="16"/>
      <c r="AU61" s="16"/>
      <c r="AV61" s="16"/>
      <c r="AW61" s="16"/>
      <c r="AX61" s="16"/>
      <c r="AY61" s="16"/>
      <c r="AZ61" s="16"/>
      <c r="BA61" s="16"/>
      <c r="BB61" s="16"/>
      <c r="BC61" s="16"/>
      <c r="BD61" s="16"/>
      <c r="BE61" s="16"/>
      <c r="BF61" s="16"/>
    </row>
    <row r="62" ht="60.0" customHeight="1">
      <c r="A62" s="20" t="s">
        <v>1128</v>
      </c>
      <c r="B62" s="20"/>
      <c r="C62" s="20" t="s">
        <v>47</v>
      </c>
      <c r="D62" s="21" t="s">
        <v>48</v>
      </c>
      <c r="E62" s="20" t="s">
        <v>157</v>
      </c>
      <c r="F62" s="20" t="s">
        <v>1129</v>
      </c>
      <c r="G62" s="20" t="s">
        <v>871</v>
      </c>
      <c r="H62" s="23">
        <v>45443.0</v>
      </c>
      <c r="I62" s="23">
        <f>'17025 SAL'!$H62+$AN$1</f>
        <v>46903</v>
      </c>
      <c r="J62" s="23">
        <v>40099.0</v>
      </c>
      <c r="K62" s="20"/>
      <c r="L62" s="20" t="s">
        <v>1130</v>
      </c>
      <c r="M62" s="38" t="s">
        <v>1131</v>
      </c>
      <c r="N62" s="38" t="s">
        <v>1132</v>
      </c>
      <c r="O62" s="20" t="s">
        <v>1133</v>
      </c>
      <c r="P62" s="20" t="s">
        <v>1134</v>
      </c>
      <c r="Q62" s="20" t="s">
        <v>1135</v>
      </c>
      <c r="R62" s="20" t="s">
        <v>1136</v>
      </c>
      <c r="S62" s="20" t="s">
        <v>1137</v>
      </c>
      <c r="T62" s="20" t="s">
        <v>1138</v>
      </c>
      <c r="U62" s="25" t="str">
        <f>HYPERLINK("http://www.iibi.gov.do/","www.iibi.gov.do")</f>
        <v>www.iibi.gov.do</v>
      </c>
      <c r="V62" s="20" t="s">
        <v>1139</v>
      </c>
      <c r="W62" s="20"/>
      <c r="X62" s="20"/>
      <c r="Y62" s="20" t="s">
        <v>1140</v>
      </c>
      <c r="Z62" s="20" t="s">
        <v>64</v>
      </c>
      <c r="AA62" s="20" t="s">
        <v>1141</v>
      </c>
      <c r="AB62" s="20"/>
      <c r="AC62" s="20" t="s">
        <v>1142</v>
      </c>
      <c r="AD62" s="20" t="s">
        <v>1143</v>
      </c>
      <c r="AE62" s="20" t="s">
        <v>1144</v>
      </c>
      <c r="AF62" s="20" t="s">
        <v>1145</v>
      </c>
      <c r="AG62" s="20" t="s">
        <v>1146</v>
      </c>
      <c r="AH62" s="20" t="s">
        <v>1147</v>
      </c>
      <c r="AI62" s="38" t="s">
        <v>1148</v>
      </c>
      <c r="AJ62" s="20" t="s">
        <v>1149</v>
      </c>
      <c r="AK62" s="20" t="s">
        <v>1128</v>
      </c>
      <c r="AL62" s="20" t="s">
        <v>1150</v>
      </c>
      <c r="AM62" s="29"/>
      <c r="AN62" s="29"/>
      <c r="AO62" s="29"/>
      <c r="AP62" s="29"/>
      <c r="AQ62" s="29"/>
      <c r="AR62" s="29"/>
      <c r="AS62" s="29"/>
      <c r="AT62" s="29"/>
      <c r="AU62" s="29"/>
      <c r="AV62" s="29"/>
      <c r="AW62" s="29"/>
      <c r="AX62" s="29"/>
      <c r="AY62" s="29"/>
      <c r="AZ62" s="29"/>
      <c r="BA62" s="29"/>
      <c r="BB62" s="29"/>
      <c r="BC62" s="29"/>
      <c r="BD62" s="29"/>
      <c r="BE62" s="29"/>
      <c r="BF62" s="29"/>
    </row>
    <row r="63" ht="60.0" customHeight="1">
      <c r="A63" s="24" t="s">
        <v>1151</v>
      </c>
      <c r="B63" s="24"/>
      <c r="C63" s="24" t="s">
        <v>47</v>
      </c>
      <c r="D63" s="21" t="s">
        <v>213</v>
      </c>
      <c r="E63" s="24" t="s">
        <v>49</v>
      </c>
      <c r="F63" s="24" t="s">
        <v>1152</v>
      </c>
      <c r="G63" s="24" t="s">
        <v>1153</v>
      </c>
      <c r="H63" s="24"/>
      <c r="I63" s="54">
        <f>'17025 SAL'!$H63+$AN$1</f>
        <v>1460</v>
      </c>
      <c r="J63" s="54">
        <v>40337.0</v>
      </c>
      <c r="K63" s="24"/>
      <c r="L63" s="24" t="s">
        <v>1154</v>
      </c>
      <c r="M63" s="58" t="s">
        <v>1155</v>
      </c>
      <c r="N63" s="58" t="s">
        <v>1156</v>
      </c>
      <c r="O63" s="24" t="s">
        <v>1157</v>
      </c>
      <c r="P63" s="24" t="s">
        <v>1158</v>
      </c>
      <c r="Q63" s="24" t="s">
        <v>661</v>
      </c>
      <c r="R63" s="24" t="s">
        <v>1159</v>
      </c>
      <c r="S63" s="24" t="s">
        <v>1160</v>
      </c>
      <c r="T63" s="24" t="s">
        <v>1161</v>
      </c>
      <c r="U63" s="55" t="str">
        <f>HYPERLINK("http://www.fhia.org.hn;/","www.fhia.org.hn;")</f>
        <v>www.fhia.org.hn;</v>
      </c>
      <c r="V63" s="24" t="s">
        <v>1162</v>
      </c>
      <c r="W63" s="24" t="s">
        <v>1163</v>
      </c>
      <c r="X63" s="24" t="s">
        <v>62</v>
      </c>
      <c r="Y63" s="24" t="s">
        <v>1164</v>
      </c>
      <c r="Z63" s="26" t="s">
        <v>1165</v>
      </c>
      <c r="AA63" s="26" t="s">
        <v>1166</v>
      </c>
      <c r="AB63" s="26"/>
      <c r="AC63" s="26" t="s">
        <v>1166</v>
      </c>
      <c r="AD63" s="26" t="s">
        <v>1166</v>
      </c>
      <c r="AE63" s="26" t="s">
        <v>1166</v>
      </c>
      <c r="AF63" s="26" t="s">
        <v>1166</v>
      </c>
      <c r="AG63" s="26" t="s">
        <v>1166</v>
      </c>
      <c r="AH63" s="24" t="s">
        <v>1167</v>
      </c>
      <c r="AI63" s="55" t="str">
        <f>HYPERLINK("mailto:Laboratorioquimicoagricola@gmail.com;","Laboratorioquimicoagricola@gmail.com;")</f>
        <v>Laboratorioquimicoagricola@gmail.com;</v>
      </c>
      <c r="AJ63" s="26" t="s">
        <v>1168</v>
      </c>
      <c r="AK63" s="24" t="s">
        <v>1151</v>
      </c>
      <c r="AL63" s="24" t="s">
        <v>1169</v>
      </c>
      <c r="AM63" s="29"/>
      <c r="AN63" s="29"/>
      <c r="AO63" s="29"/>
      <c r="AP63" s="29"/>
      <c r="AQ63" s="29"/>
      <c r="AR63" s="29"/>
      <c r="AS63" s="29"/>
      <c r="AT63" s="29"/>
      <c r="AU63" s="29"/>
      <c r="AV63" s="29"/>
      <c r="AW63" s="29"/>
      <c r="AX63" s="29"/>
      <c r="AY63" s="29"/>
      <c r="AZ63" s="29"/>
      <c r="BA63" s="29"/>
      <c r="BB63" s="29"/>
      <c r="BC63" s="29"/>
      <c r="BD63" s="29"/>
      <c r="BE63" s="29"/>
      <c r="BF63" s="29"/>
    </row>
    <row r="64" ht="60.0" customHeight="1">
      <c r="A64" s="20" t="s">
        <v>1170</v>
      </c>
      <c r="B64" s="20" t="s">
        <v>1171</v>
      </c>
      <c r="C64" s="20" t="s">
        <v>47</v>
      </c>
      <c r="D64" s="21" t="s">
        <v>48</v>
      </c>
      <c r="E64" s="20" t="s">
        <v>49</v>
      </c>
      <c r="F64" s="20" t="s">
        <v>1172</v>
      </c>
      <c r="G64" s="20" t="s">
        <v>1173</v>
      </c>
      <c r="H64" s="23">
        <v>44041.0</v>
      </c>
      <c r="I64" s="23">
        <f>'17025 SAL'!$H64+$AN$1</f>
        <v>45501</v>
      </c>
      <c r="J64" s="23">
        <v>40162.0</v>
      </c>
      <c r="K64" s="20"/>
      <c r="L64" s="20" t="s">
        <v>1174</v>
      </c>
      <c r="M64" s="38" t="s">
        <v>1175</v>
      </c>
      <c r="N64" s="38" t="s">
        <v>1176</v>
      </c>
      <c r="O64" s="20" t="s">
        <v>1177</v>
      </c>
      <c r="P64" s="35" t="s">
        <v>76</v>
      </c>
      <c r="Q64" s="20" t="s">
        <v>55</v>
      </c>
      <c r="R64" s="20" t="s">
        <v>1178</v>
      </c>
      <c r="S64" s="20" t="s">
        <v>57</v>
      </c>
      <c r="T64" s="35">
        <v>3.101063882E9</v>
      </c>
      <c r="U64" s="25" t="str">
        <f>HYPERLINK("http://www.insuma.co.cr/","www.insuma.co.cr")</f>
        <v>www.insuma.co.cr</v>
      </c>
      <c r="V64" s="20" t="s">
        <v>1179</v>
      </c>
      <c r="W64" s="20" t="s">
        <v>1180</v>
      </c>
      <c r="X64" s="20" t="s">
        <v>62</v>
      </c>
      <c r="Y64" s="20" t="s">
        <v>1181</v>
      </c>
      <c r="Z64" s="20" t="s">
        <v>411</v>
      </c>
      <c r="AA64" s="20" t="s">
        <v>1178</v>
      </c>
      <c r="AB64" s="35" t="s">
        <v>1182</v>
      </c>
      <c r="AC64" s="20" t="s">
        <v>1183</v>
      </c>
      <c r="AD64" s="35" t="s">
        <v>1184</v>
      </c>
      <c r="AE64" s="35" t="s">
        <v>1185</v>
      </c>
      <c r="AF64" s="20" t="s">
        <v>1177</v>
      </c>
      <c r="AG64" s="20" t="s">
        <v>1178</v>
      </c>
      <c r="AH64" s="20" t="s">
        <v>76</v>
      </c>
      <c r="AI64" s="24" t="s">
        <v>1186</v>
      </c>
      <c r="AJ64" s="20" t="s">
        <v>1187</v>
      </c>
      <c r="AK64" s="20" t="s">
        <v>1170</v>
      </c>
      <c r="AL64" s="20"/>
      <c r="AM64" s="29"/>
      <c r="AN64" s="29"/>
      <c r="AO64" s="29"/>
      <c r="AP64" s="29"/>
      <c r="AQ64" s="29"/>
      <c r="AR64" s="29"/>
      <c r="AS64" s="29"/>
      <c r="AT64" s="29"/>
      <c r="AU64" s="29"/>
      <c r="AV64" s="29"/>
      <c r="AW64" s="29"/>
      <c r="AX64" s="29"/>
      <c r="AY64" s="29"/>
      <c r="AZ64" s="29"/>
      <c r="BA64" s="29"/>
      <c r="BB64" s="29"/>
      <c r="BC64" s="29"/>
      <c r="BD64" s="29"/>
      <c r="BE64" s="29"/>
      <c r="BF64" s="29"/>
    </row>
    <row r="65" ht="60.0" customHeight="1">
      <c r="A65" s="26" t="s">
        <v>1188</v>
      </c>
      <c r="B65" s="24"/>
      <c r="C65" s="24" t="s">
        <v>47</v>
      </c>
      <c r="D65" s="21" t="s">
        <v>213</v>
      </c>
      <c r="E65" s="24" t="s">
        <v>49</v>
      </c>
      <c r="F65" s="24" t="s">
        <v>1189</v>
      </c>
      <c r="G65" s="24" t="s">
        <v>908</v>
      </c>
      <c r="H65" s="24"/>
      <c r="I65" s="54">
        <f>'17025 SAL'!$H65+$AN$1</f>
        <v>1460</v>
      </c>
      <c r="J65" s="54">
        <v>40127.0</v>
      </c>
      <c r="K65" s="24"/>
      <c r="L65" s="24" t="s">
        <v>1190</v>
      </c>
      <c r="M65" s="64" t="s">
        <v>1191</v>
      </c>
      <c r="N65" s="65"/>
      <c r="O65" s="26" t="s">
        <v>1192</v>
      </c>
      <c r="P65" s="24" t="s">
        <v>1193</v>
      </c>
      <c r="Q65" s="24" t="s">
        <v>661</v>
      </c>
      <c r="R65" s="26" t="s">
        <v>1194</v>
      </c>
      <c r="S65" s="24" t="s">
        <v>914</v>
      </c>
      <c r="T65" s="24">
        <v>59.0</v>
      </c>
      <c r="U65" s="55" t="str">
        <f>HYPERLINK("http://www.grupoc.hn/ecolova","www.grupoc.hn/ecolova")</f>
        <v>www.grupoc.hn/ecolova</v>
      </c>
      <c r="V65" s="24" t="s">
        <v>1195</v>
      </c>
      <c r="W65" s="24">
        <v>5.0119680778E11</v>
      </c>
      <c r="X65" s="24" t="s">
        <v>62</v>
      </c>
      <c r="Y65" s="24" t="s">
        <v>918</v>
      </c>
      <c r="Z65" s="24" t="s">
        <v>1196</v>
      </c>
      <c r="AA65" s="55" t="str">
        <f>HYPERLINK("mailto:ronyc@tecnossuplier.com;","ronyc@tecnossuplier.com; ")</f>
        <v>ronyc@tecnossuplier.com; </v>
      </c>
      <c r="AB65" s="55"/>
      <c r="AC65" s="24" t="s">
        <v>1197</v>
      </c>
      <c r="AD65" s="24" t="s">
        <v>1198</v>
      </c>
      <c r="AE65" s="24" t="s">
        <v>1198</v>
      </c>
      <c r="AF65" s="26" t="s">
        <v>1199</v>
      </c>
      <c r="AG65" s="26" t="s">
        <v>1194</v>
      </c>
      <c r="AH65" s="24" t="s">
        <v>1200</v>
      </c>
      <c r="AI65" s="56" t="str">
        <f>HYPERLINK("mailto:k.leiva-ecolova@grupoc.hn;","k.leiva-ecolova@grupoc.hn;")</f>
        <v>k.leiva-ecolova@grupoc.hn;</v>
      </c>
      <c r="AJ65" s="24" t="s">
        <v>1201</v>
      </c>
      <c r="AK65" s="26" t="s">
        <v>1202</v>
      </c>
      <c r="AL65" s="26" t="s">
        <v>1203</v>
      </c>
      <c r="AM65" s="29"/>
      <c r="AN65" s="29"/>
      <c r="AO65" s="29"/>
      <c r="AP65" s="29"/>
      <c r="AQ65" s="29"/>
      <c r="AR65" s="29"/>
      <c r="AS65" s="29"/>
      <c r="AT65" s="29"/>
      <c r="AU65" s="29"/>
      <c r="AV65" s="29"/>
      <c r="AW65" s="29"/>
      <c r="AX65" s="29"/>
      <c r="AY65" s="29"/>
      <c r="AZ65" s="29"/>
      <c r="BA65" s="29"/>
      <c r="BB65" s="29"/>
      <c r="BC65" s="29"/>
      <c r="BD65" s="29"/>
      <c r="BE65" s="29"/>
      <c r="BF65" s="29"/>
    </row>
    <row r="66" ht="60.0" customHeight="1">
      <c r="A66" s="20" t="s">
        <v>1204</v>
      </c>
      <c r="B66" s="20"/>
      <c r="C66" s="20" t="s">
        <v>47</v>
      </c>
      <c r="D66" s="21" t="s">
        <v>213</v>
      </c>
      <c r="E66" s="20" t="s">
        <v>49</v>
      </c>
      <c r="F66" s="20" t="s">
        <v>1205</v>
      </c>
      <c r="G66" s="20" t="s">
        <v>1206</v>
      </c>
      <c r="H66" s="23">
        <v>45118.0</v>
      </c>
      <c r="I66" s="23">
        <f>'17025 SAL'!$H66+$AN$1</f>
        <v>46578</v>
      </c>
      <c r="J66" s="23">
        <v>40344.0</v>
      </c>
      <c r="K66" s="20"/>
      <c r="L66" s="20" t="s">
        <v>1207</v>
      </c>
      <c r="M66" s="24" t="s">
        <v>1208</v>
      </c>
      <c r="N66" s="25"/>
      <c r="O66" s="20" t="s">
        <v>1209</v>
      </c>
      <c r="P66" s="20" t="s">
        <v>1210</v>
      </c>
      <c r="Q66" s="20" t="s">
        <v>661</v>
      </c>
      <c r="R66" s="20" t="s">
        <v>1211</v>
      </c>
      <c r="S66" s="20" t="s">
        <v>914</v>
      </c>
      <c r="T66" s="20" t="s">
        <v>1212</v>
      </c>
      <c r="U66" s="25" t="str">
        <f>HYPERLINK("http://www.ihcafe.hn/","http://www.ihcafe.hn/")</f>
        <v>http://www.ihcafe.hn/</v>
      </c>
      <c r="V66" s="20" t="s">
        <v>1213</v>
      </c>
      <c r="W66" s="26" t="s">
        <v>1214</v>
      </c>
      <c r="X66" s="20" t="s">
        <v>62</v>
      </c>
      <c r="Y66" s="20" t="s">
        <v>918</v>
      </c>
      <c r="Z66" s="20" t="s">
        <v>1215</v>
      </c>
      <c r="AA66" s="20" t="s">
        <v>1216</v>
      </c>
      <c r="AB66" s="20"/>
      <c r="AC66" s="20" t="s">
        <v>67</v>
      </c>
      <c r="AD66" s="20" t="s">
        <v>1217</v>
      </c>
      <c r="AE66" s="20" t="s">
        <v>1204</v>
      </c>
      <c r="AF66" s="20" t="s">
        <v>1218</v>
      </c>
      <c r="AG66" s="20" t="s">
        <v>1219</v>
      </c>
      <c r="AH66" s="20" t="s">
        <v>1220</v>
      </c>
      <c r="AI66" s="25" t="str">
        <f>HYPERLINK("mailto:opinto@ihcafe.hn","opinto@ihcafe.hn")</f>
        <v>opinto@ihcafe.hn</v>
      </c>
      <c r="AJ66" s="20" t="s">
        <v>1221</v>
      </c>
      <c r="AK66" s="20" t="s">
        <v>1204</v>
      </c>
      <c r="AL66" s="20" t="s">
        <v>1222</v>
      </c>
      <c r="AM66" s="16"/>
      <c r="AN66" s="16"/>
      <c r="AO66" s="16"/>
      <c r="AP66" s="16"/>
      <c r="AQ66" s="16"/>
      <c r="AR66" s="16"/>
      <c r="AS66" s="16"/>
      <c r="AT66" s="16"/>
      <c r="AU66" s="16"/>
      <c r="AV66" s="16"/>
      <c r="AW66" s="16"/>
      <c r="AX66" s="16"/>
      <c r="AY66" s="16"/>
      <c r="AZ66" s="16"/>
      <c r="BA66" s="16"/>
      <c r="BB66" s="16"/>
      <c r="BC66" s="16"/>
      <c r="BD66" s="16"/>
      <c r="BE66" s="16"/>
      <c r="BF66" s="16"/>
    </row>
    <row r="67" ht="60.0" customHeight="1">
      <c r="A67" s="20" t="s">
        <v>1223</v>
      </c>
      <c r="B67" s="20" t="s">
        <v>134</v>
      </c>
      <c r="C67" s="20" t="s">
        <v>231</v>
      </c>
      <c r="D67" s="21" t="s">
        <v>48</v>
      </c>
      <c r="E67" s="20" t="s">
        <v>96</v>
      </c>
      <c r="F67" s="20" t="s">
        <v>1224</v>
      </c>
      <c r="G67" s="20" t="s">
        <v>1225</v>
      </c>
      <c r="H67" s="23">
        <v>45147.0</v>
      </c>
      <c r="I67" s="23">
        <f>'17025 SAL'!$H67+$AN$1</f>
        <v>46607</v>
      </c>
      <c r="J67" s="23">
        <v>40372.0</v>
      </c>
      <c r="K67" s="20"/>
      <c r="L67" s="20" t="s">
        <v>1226</v>
      </c>
      <c r="M67" s="24" t="s">
        <v>1227</v>
      </c>
      <c r="N67" s="34" t="s">
        <v>1228</v>
      </c>
      <c r="O67" s="20" t="s">
        <v>1229</v>
      </c>
      <c r="P67" s="20" t="s">
        <v>219</v>
      </c>
      <c r="Q67" s="20" t="s">
        <v>55</v>
      </c>
      <c r="R67" s="20" t="s">
        <v>1230</v>
      </c>
      <c r="S67" s="20" t="s">
        <v>57</v>
      </c>
      <c r="T67" s="20" t="s">
        <v>221</v>
      </c>
      <c r="U67" s="25" t="str">
        <f>HYPERLINK("http://www.lanamme.ucr.ac.cr/","http://www.lanamme.ucr.ac.cr/ ")</f>
        <v>http://www.lanamme.ucr.ac.cr/ </v>
      </c>
      <c r="V67" s="20" t="s">
        <v>144</v>
      </c>
      <c r="W67" s="20" t="s">
        <v>145</v>
      </c>
      <c r="X67" s="20" t="s">
        <v>62</v>
      </c>
      <c r="Y67" s="26" t="s">
        <v>63</v>
      </c>
      <c r="Z67" s="20" t="s">
        <v>428</v>
      </c>
      <c r="AA67" s="26" t="s">
        <v>1231</v>
      </c>
      <c r="AB67" s="26"/>
      <c r="AC67" s="20" t="s">
        <v>148</v>
      </c>
      <c r="AD67" s="20" t="s">
        <v>223</v>
      </c>
      <c r="AE67" s="20" t="s">
        <v>134</v>
      </c>
      <c r="AF67" s="20" t="s">
        <v>224</v>
      </c>
      <c r="AG67" s="20" t="s">
        <v>225</v>
      </c>
      <c r="AH67" s="20" t="s">
        <v>219</v>
      </c>
      <c r="AI67" s="25" t="s">
        <v>226</v>
      </c>
      <c r="AJ67" s="20" t="s">
        <v>227</v>
      </c>
      <c r="AK67" s="20" t="s">
        <v>153</v>
      </c>
      <c r="AL67" s="20" t="s">
        <v>228</v>
      </c>
      <c r="AM67" s="16"/>
      <c r="AN67" s="16"/>
      <c r="AO67" s="16"/>
      <c r="AP67" s="16"/>
      <c r="AQ67" s="16"/>
      <c r="AR67" s="16"/>
      <c r="AS67" s="16"/>
      <c r="AT67" s="16"/>
      <c r="AU67" s="16"/>
      <c r="AV67" s="16"/>
      <c r="AW67" s="16"/>
      <c r="AX67" s="16"/>
      <c r="AY67" s="16"/>
      <c r="AZ67" s="16"/>
      <c r="BA67" s="16"/>
      <c r="BB67" s="16"/>
      <c r="BC67" s="16"/>
      <c r="BD67" s="16"/>
      <c r="BE67" s="16"/>
      <c r="BF67" s="16"/>
    </row>
    <row r="68" ht="60.0" customHeight="1">
      <c r="A68" s="24" t="s">
        <v>1232</v>
      </c>
      <c r="B68" s="24"/>
      <c r="C68" s="24" t="s">
        <v>47</v>
      </c>
      <c r="D68" s="21" t="s">
        <v>213</v>
      </c>
      <c r="E68" s="24" t="s">
        <v>49</v>
      </c>
      <c r="F68" s="24" t="s">
        <v>1233</v>
      </c>
      <c r="G68" s="24" t="s">
        <v>1094</v>
      </c>
      <c r="H68" s="24"/>
      <c r="I68" s="54">
        <f>'17025 SAL'!$H68+$AN$1</f>
        <v>1460</v>
      </c>
      <c r="J68" s="54">
        <v>40386.0</v>
      </c>
      <c r="K68" s="26"/>
      <c r="L68" s="24" t="s">
        <v>1234</v>
      </c>
      <c r="M68" s="66" t="str">
        <f>HYPERLINK("mailto:gcosenza@agrobiotek.com;","gcosenza@agrobiotek.com;")</f>
        <v>gcosenza@agrobiotek.com;</v>
      </c>
      <c r="N68" s="65"/>
      <c r="O68" s="24" t="s">
        <v>1235</v>
      </c>
      <c r="P68" s="24" t="s">
        <v>1236</v>
      </c>
      <c r="Q68" s="24" t="s">
        <v>661</v>
      </c>
      <c r="R68" s="26" t="s">
        <v>1237</v>
      </c>
      <c r="S68" s="24" t="s">
        <v>1238</v>
      </c>
      <c r="T68" s="24" t="s">
        <v>1239</v>
      </c>
      <c r="U68" s="55" t="str">
        <f>HYPERLINK("http://www.agrobiotek.com;/","www.agrobiotek.com;")</f>
        <v>www.agrobiotek.com;</v>
      </c>
      <c r="V68" s="26" t="s">
        <v>1240</v>
      </c>
      <c r="W68" s="24" t="s">
        <v>1241</v>
      </c>
      <c r="X68" s="24" t="s">
        <v>62</v>
      </c>
      <c r="Y68" s="24" t="s">
        <v>918</v>
      </c>
      <c r="Z68" s="24" t="s">
        <v>1242</v>
      </c>
      <c r="AA68" s="24" t="s">
        <v>1243</v>
      </c>
      <c r="AB68" s="24"/>
      <c r="AC68" s="24" t="s">
        <v>67</v>
      </c>
      <c r="AD68" s="24" t="s">
        <v>1244</v>
      </c>
      <c r="AE68" s="24" t="s">
        <v>1244</v>
      </c>
      <c r="AF68" s="24" t="s">
        <v>1245</v>
      </c>
      <c r="AG68" s="26" t="s">
        <v>1246</v>
      </c>
      <c r="AH68" s="24" t="s">
        <v>1245</v>
      </c>
      <c r="AI68" s="55" t="str">
        <f>HYPERLINK("mailto:mcarias@agrobiotek.com;","mcarias@agrobiotek.com;")</f>
        <v>mcarias@agrobiotek.com;</v>
      </c>
      <c r="AJ68" s="24" t="s">
        <v>1247</v>
      </c>
      <c r="AK68" s="26" t="s">
        <v>1232</v>
      </c>
      <c r="AL68" s="24" t="s">
        <v>1248</v>
      </c>
      <c r="AM68" s="16"/>
      <c r="AN68" s="29"/>
      <c r="AO68" s="29"/>
      <c r="AP68" s="29"/>
      <c r="AQ68" s="29"/>
      <c r="AR68" s="29"/>
      <c r="AS68" s="29"/>
      <c r="AT68" s="29"/>
      <c r="AU68" s="29"/>
      <c r="AV68" s="29"/>
      <c r="AW68" s="29"/>
      <c r="AX68" s="29"/>
      <c r="AY68" s="29"/>
      <c r="AZ68" s="29"/>
      <c r="BA68" s="29"/>
      <c r="BB68" s="29"/>
      <c r="BC68" s="29"/>
      <c r="BD68" s="29"/>
      <c r="BE68" s="29"/>
      <c r="BF68" s="29"/>
    </row>
    <row r="69" ht="60.0" customHeight="1">
      <c r="A69" s="20" t="s">
        <v>1249</v>
      </c>
      <c r="B69" s="20"/>
      <c r="C69" s="20" t="s">
        <v>47</v>
      </c>
      <c r="D69" s="21" t="s">
        <v>48</v>
      </c>
      <c r="E69" s="20" t="s">
        <v>49</v>
      </c>
      <c r="F69" s="20" t="s">
        <v>1250</v>
      </c>
      <c r="G69" s="20" t="s">
        <v>947</v>
      </c>
      <c r="H69" s="23">
        <v>45462.0</v>
      </c>
      <c r="I69" s="23">
        <f>'17025 SAL'!$H69+$AN$1</f>
        <v>46922</v>
      </c>
      <c r="J69" s="23">
        <v>40232.0</v>
      </c>
      <c r="K69" s="20"/>
      <c r="L69" s="20" t="s">
        <v>1251</v>
      </c>
      <c r="M69" s="24" t="s">
        <v>1252</v>
      </c>
      <c r="N69" s="24" t="s">
        <v>1253</v>
      </c>
      <c r="O69" s="20" t="s">
        <v>1254</v>
      </c>
      <c r="P69" s="20" t="s">
        <v>1255</v>
      </c>
      <c r="Q69" s="20" t="s">
        <v>661</v>
      </c>
      <c r="R69" s="20" t="s">
        <v>1256</v>
      </c>
      <c r="S69" s="20" t="s">
        <v>1016</v>
      </c>
      <c r="T69" s="20" t="s">
        <v>1257</v>
      </c>
      <c r="U69" s="20" t="s">
        <v>324</v>
      </c>
      <c r="V69" s="20" t="s">
        <v>1258</v>
      </c>
      <c r="W69" s="20" t="s">
        <v>1259</v>
      </c>
      <c r="X69" s="20" t="s">
        <v>304</v>
      </c>
      <c r="Y69" s="20" t="s">
        <v>1260</v>
      </c>
      <c r="Z69" s="20" t="s">
        <v>1261</v>
      </c>
      <c r="AA69" s="20" t="s">
        <v>1256</v>
      </c>
      <c r="AB69" s="20"/>
      <c r="AC69" s="20" t="s">
        <v>1106</v>
      </c>
      <c r="AD69" s="20" t="s">
        <v>1262</v>
      </c>
      <c r="AE69" s="20" t="s">
        <v>1263</v>
      </c>
      <c r="AF69" s="20" t="s">
        <v>1254</v>
      </c>
      <c r="AG69" s="20" t="s">
        <v>1256</v>
      </c>
      <c r="AH69" s="20" t="s">
        <v>1264</v>
      </c>
      <c r="AI69" s="25" t="str">
        <f>HYPERLINK("mailto:mvalerio@oirsa.org","mvalerio@oirsa.org")</f>
        <v>mvalerio@oirsa.org</v>
      </c>
      <c r="AJ69" s="20" t="s">
        <v>1265</v>
      </c>
      <c r="AK69" s="20" t="s">
        <v>1249</v>
      </c>
      <c r="AL69" s="20" t="s">
        <v>1266</v>
      </c>
      <c r="AM69" s="29"/>
      <c r="AN69" s="29"/>
      <c r="AO69" s="29"/>
      <c r="AP69" s="29"/>
      <c r="AQ69" s="29"/>
      <c r="AR69" s="29"/>
      <c r="AS69" s="29"/>
      <c r="AT69" s="29"/>
      <c r="AU69" s="29"/>
      <c r="AV69" s="29"/>
      <c r="AW69" s="29"/>
      <c r="AX69" s="29"/>
      <c r="AY69" s="29"/>
      <c r="AZ69" s="29"/>
      <c r="BA69" s="29"/>
      <c r="BB69" s="29"/>
      <c r="BC69" s="29"/>
      <c r="BD69" s="29"/>
      <c r="BE69" s="29"/>
      <c r="BF69" s="29"/>
    </row>
    <row r="70" ht="60.0" customHeight="1">
      <c r="A70" s="26" t="s">
        <v>1267</v>
      </c>
      <c r="B70" s="26"/>
      <c r="C70" s="24" t="s">
        <v>231</v>
      </c>
      <c r="D70" s="21" t="s">
        <v>213</v>
      </c>
      <c r="E70" s="24" t="s">
        <v>157</v>
      </c>
      <c r="F70" s="24" t="s">
        <v>1268</v>
      </c>
      <c r="G70" s="24" t="s">
        <v>1269</v>
      </c>
      <c r="H70" s="24"/>
      <c r="I70" s="54">
        <f>'17025 SAL'!$H70+$AN$1</f>
        <v>1460</v>
      </c>
      <c r="J70" s="54">
        <v>40416.0</v>
      </c>
      <c r="K70" s="24"/>
      <c r="L70" s="24" t="s">
        <v>1270</v>
      </c>
      <c r="M70" s="55" t="str">
        <f>HYPERLINK("mailto:labcal.calidad@gmail.com","labcal.calidad@gmail.com")</f>
        <v>labcal.calidad@gmail.com</v>
      </c>
      <c r="N70" s="65"/>
      <c r="O70" s="24" t="s">
        <v>1271</v>
      </c>
      <c r="P70" s="24" t="s">
        <v>1272</v>
      </c>
      <c r="Q70" s="24" t="s">
        <v>55</v>
      </c>
      <c r="R70" s="26" t="s">
        <v>1273</v>
      </c>
      <c r="S70" s="26"/>
      <c r="T70" s="24" t="s">
        <v>221</v>
      </c>
      <c r="U70" s="55" t="str">
        <f>HYPERLINK("http://www.inii.ucr.ac.cr/labcal/","http://www.inii.ucr.ac.cr/labcal/")</f>
        <v>http://www.inii.ucr.ac.cr/labcal/</v>
      </c>
      <c r="V70" s="24" t="s">
        <v>1274</v>
      </c>
      <c r="W70" s="24" t="s">
        <v>1275</v>
      </c>
      <c r="X70" s="24" t="s">
        <v>62</v>
      </c>
      <c r="Y70" s="24" t="s">
        <v>63</v>
      </c>
      <c r="Z70" s="26" t="s">
        <v>1276</v>
      </c>
      <c r="AA70" s="26" t="s">
        <v>1277</v>
      </c>
      <c r="AB70" s="26"/>
      <c r="AC70" s="24" t="s">
        <v>148</v>
      </c>
      <c r="AD70" s="24" t="s">
        <v>1278</v>
      </c>
      <c r="AE70" s="24" t="s">
        <v>150</v>
      </c>
      <c r="AF70" s="24" t="s">
        <v>1279</v>
      </c>
      <c r="AG70" s="26" t="s">
        <v>1273</v>
      </c>
      <c r="AH70" s="26" t="s">
        <v>1272</v>
      </c>
      <c r="AI70" s="56" t="str">
        <f>HYPERLINK("mailto:roxanalabcal@gmail.com","roxanalabcal@gmail.com; labcal.coordinacion@gmail.com")</f>
        <v>roxanalabcal@gmail.com; labcal.coordinacion@gmail.com</v>
      </c>
      <c r="AJ70" s="24" t="s">
        <v>1280</v>
      </c>
      <c r="AK70" s="24" t="s">
        <v>153</v>
      </c>
      <c r="AL70" s="26" t="s">
        <v>1281</v>
      </c>
      <c r="AM70" s="16"/>
      <c r="AN70" s="16"/>
      <c r="AO70" s="16"/>
      <c r="AP70" s="16"/>
      <c r="AQ70" s="16"/>
      <c r="AR70" s="16"/>
      <c r="AS70" s="16"/>
      <c r="AT70" s="16"/>
      <c r="AU70" s="16"/>
      <c r="AV70" s="16"/>
      <c r="AW70" s="16"/>
      <c r="AX70" s="16"/>
      <c r="AY70" s="16"/>
      <c r="AZ70" s="16"/>
      <c r="BA70" s="16"/>
      <c r="BB70" s="16"/>
      <c r="BC70" s="16"/>
      <c r="BD70" s="16"/>
      <c r="BE70" s="16"/>
      <c r="BF70" s="16"/>
    </row>
    <row r="71" ht="60.0" customHeight="1">
      <c r="A71" s="20" t="s">
        <v>1282</v>
      </c>
      <c r="B71" s="20"/>
      <c r="C71" s="20" t="s">
        <v>47</v>
      </c>
      <c r="D71" s="21" t="s">
        <v>822</v>
      </c>
      <c r="E71" s="20" t="s">
        <v>49</v>
      </c>
      <c r="F71" s="20" t="s">
        <v>1283</v>
      </c>
      <c r="G71" s="20" t="s">
        <v>993</v>
      </c>
      <c r="H71" s="23">
        <v>45846.0</v>
      </c>
      <c r="I71" s="23" t="s">
        <v>76</v>
      </c>
      <c r="J71" s="23">
        <v>40246.0</v>
      </c>
      <c r="K71" s="20"/>
      <c r="L71" s="20" t="s">
        <v>1284</v>
      </c>
      <c r="M71" s="38" t="s">
        <v>1285</v>
      </c>
      <c r="N71" s="57" t="s">
        <v>1286</v>
      </c>
      <c r="O71" s="20" t="s">
        <v>1287</v>
      </c>
      <c r="P71" s="20" t="s">
        <v>1288</v>
      </c>
      <c r="Q71" s="20" t="s">
        <v>55</v>
      </c>
      <c r="R71" s="20" t="s">
        <v>1289</v>
      </c>
      <c r="S71" s="20" t="s">
        <v>57</v>
      </c>
      <c r="T71" s="24" t="s">
        <v>1290</v>
      </c>
      <c r="U71" s="25" t="str">
        <f>HYPERLINK("http://www.coopesalud.org;/","www.coopesalud.org;")</f>
        <v>www.coopesalud.org;</v>
      </c>
      <c r="V71" s="20" t="s">
        <v>1291</v>
      </c>
      <c r="W71" s="20" t="s">
        <v>1292</v>
      </c>
      <c r="X71" s="20" t="s">
        <v>1293</v>
      </c>
      <c r="Y71" s="20" t="s">
        <v>63</v>
      </c>
      <c r="Z71" s="20" t="s">
        <v>1294</v>
      </c>
      <c r="AA71" s="20" t="s">
        <v>1295</v>
      </c>
      <c r="AB71" s="20"/>
      <c r="AC71" s="20" t="s">
        <v>67</v>
      </c>
      <c r="AD71" s="20" t="s">
        <v>1296</v>
      </c>
      <c r="AE71" s="20" t="s">
        <v>1297</v>
      </c>
      <c r="AF71" s="20" t="s">
        <v>1287</v>
      </c>
      <c r="AG71" s="20" t="s">
        <v>1289</v>
      </c>
      <c r="AH71" s="20" t="s">
        <v>1288</v>
      </c>
      <c r="AI71" s="25" t="str">
        <f>HYPERLINK("mailto:mvega@coopesalud.org","mvega@coopesalud.org")</f>
        <v>mvega@coopesalud.org</v>
      </c>
      <c r="AJ71" s="20" t="s">
        <v>1298</v>
      </c>
      <c r="AK71" s="20" t="s">
        <v>1299</v>
      </c>
      <c r="AL71" s="20" t="s">
        <v>1300</v>
      </c>
      <c r="AM71" s="16"/>
      <c r="AN71" s="16"/>
      <c r="AO71" s="16"/>
      <c r="AP71" s="16"/>
      <c r="AQ71" s="16"/>
      <c r="AR71" s="16"/>
      <c r="AS71" s="16"/>
      <c r="AT71" s="16"/>
      <c r="AU71" s="16"/>
      <c r="AV71" s="16"/>
      <c r="AW71" s="16"/>
      <c r="AX71" s="16"/>
      <c r="AY71" s="16"/>
      <c r="AZ71" s="16"/>
      <c r="BA71" s="16"/>
      <c r="BB71" s="16"/>
      <c r="BC71" s="16"/>
      <c r="BD71" s="16"/>
      <c r="BE71" s="16"/>
      <c r="BF71" s="16"/>
    </row>
    <row r="72" ht="60.0" customHeight="1">
      <c r="A72" s="20" t="s">
        <v>1301</v>
      </c>
      <c r="B72" s="26" t="s">
        <v>563</v>
      </c>
      <c r="C72" s="20" t="s">
        <v>231</v>
      </c>
      <c r="D72" s="21" t="s">
        <v>48</v>
      </c>
      <c r="E72" s="20" t="s">
        <v>49</v>
      </c>
      <c r="F72" s="20" t="s">
        <v>1302</v>
      </c>
      <c r="G72" s="20" t="s">
        <v>1303</v>
      </c>
      <c r="H72" s="23">
        <v>45272.0</v>
      </c>
      <c r="I72" s="23">
        <f>'17025 SAL'!$H72+$AN$1</f>
        <v>46732</v>
      </c>
      <c r="J72" s="23">
        <v>40519.0</v>
      </c>
      <c r="K72" s="20"/>
      <c r="L72" s="20" t="s">
        <v>1304</v>
      </c>
      <c r="M72" s="20" t="s">
        <v>565</v>
      </c>
      <c r="N72" s="20" t="s">
        <v>1305</v>
      </c>
      <c r="O72" s="20" t="s">
        <v>1306</v>
      </c>
      <c r="P72" s="20">
        <v>2.2097301E7</v>
      </c>
      <c r="Q72" s="20" t="s">
        <v>55</v>
      </c>
      <c r="R72" s="20" t="s">
        <v>569</v>
      </c>
      <c r="S72" s="20" t="s">
        <v>121</v>
      </c>
      <c r="T72" s="20" t="s">
        <v>570</v>
      </c>
      <c r="U72" s="31" t="s">
        <v>571</v>
      </c>
      <c r="V72" s="20" t="s">
        <v>572</v>
      </c>
      <c r="W72" s="39">
        <v>1.22201367821E11</v>
      </c>
      <c r="X72" s="20"/>
      <c r="Y72" s="20" t="s">
        <v>573</v>
      </c>
      <c r="Z72" s="20"/>
      <c r="AA72" s="20" t="s">
        <v>569</v>
      </c>
      <c r="AB72" s="20"/>
      <c r="AC72" s="20" t="s">
        <v>574</v>
      </c>
      <c r="AD72" s="20" t="s">
        <v>575</v>
      </c>
      <c r="AE72" s="20" t="s">
        <v>576</v>
      </c>
      <c r="AF72" s="20">
        <v>2.20973E7</v>
      </c>
      <c r="AG72" s="20" t="s">
        <v>569</v>
      </c>
      <c r="AH72" s="20">
        <v>2.2097301E7</v>
      </c>
      <c r="AI72" s="25" t="str">
        <f>HYPERLINK("mailto:alvarezronald@bfcr.co.cr","alvarezronald@bfcr.co.cr")</f>
        <v>alvarezronald@bfcr.co.cr</v>
      </c>
      <c r="AJ72" s="20" t="s">
        <v>577</v>
      </c>
      <c r="AK72" s="20" t="s">
        <v>1307</v>
      </c>
      <c r="AL72" s="20" t="s">
        <v>1308</v>
      </c>
      <c r="AM72" s="16"/>
      <c r="AN72" s="16"/>
      <c r="AO72" s="16"/>
      <c r="AP72" s="16"/>
      <c r="AQ72" s="16"/>
      <c r="AR72" s="16"/>
      <c r="AS72" s="16"/>
      <c r="AT72" s="16"/>
      <c r="AU72" s="16"/>
      <c r="AV72" s="16"/>
      <c r="AW72" s="16"/>
      <c r="AX72" s="16"/>
      <c r="AY72" s="16"/>
      <c r="AZ72" s="16"/>
      <c r="BA72" s="16"/>
      <c r="BB72" s="16"/>
      <c r="BC72" s="16"/>
      <c r="BD72" s="16"/>
      <c r="BE72" s="16"/>
      <c r="BF72" s="16"/>
    </row>
    <row r="73" ht="60.0" customHeight="1">
      <c r="A73" s="20" t="s">
        <v>1309</v>
      </c>
      <c r="B73" s="20" t="s">
        <v>1310</v>
      </c>
      <c r="C73" s="20" t="s">
        <v>47</v>
      </c>
      <c r="D73" s="21" t="s">
        <v>48</v>
      </c>
      <c r="E73" s="20" t="s">
        <v>157</v>
      </c>
      <c r="F73" s="20" t="s">
        <v>1311</v>
      </c>
      <c r="G73" s="20" t="s">
        <v>1189</v>
      </c>
      <c r="H73" s="23">
        <v>44008.0</v>
      </c>
      <c r="I73" s="23">
        <f>'17025 SAL'!$H73+$AN$1</f>
        <v>45468</v>
      </c>
      <c r="J73" s="23">
        <v>40568.0</v>
      </c>
      <c r="K73" s="20"/>
      <c r="L73" s="20" t="s">
        <v>1312</v>
      </c>
      <c r="M73" s="24" t="s">
        <v>1313</v>
      </c>
      <c r="N73" s="49" t="str">
        <f>HYPERLINK("mailto:yalpizar@icafe.cr","yalpizar@icafe.cr")</f>
        <v>yalpizar@icafe.cr</v>
      </c>
      <c r="O73" s="20" t="s">
        <v>1314</v>
      </c>
      <c r="P73" s="20" t="s">
        <v>1315</v>
      </c>
      <c r="Q73" s="20" t="s">
        <v>55</v>
      </c>
      <c r="R73" s="20" t="s">
        <v>1316</v>
      </c>
      <c r="S73" s="20" t="s">
        <v>121</v>
      </c>
      <c r="T73" s="20" t="s">
        <v>1317</v>
      </c>
      <c r="U73" s="25" t="str">
        <f>HYPERLINK("http://www.icafe.go.cr/","http://www.icafe.go.cr")</f>
        <v>http://www.icafe.go.cr</v>
      </c>
      <c r="V73" s="20" t="s">
        <v>1318</v>
      </c>
      <c r="W73" s="20" t="s">
        <v>1319</v>
      </c>
      <c r="X73" s="20" t="s">
        <v>62</v>
      </c>
      <c r="Y73" s="20" t="s">
        <v>264</v>
      </c>
      <c r="Z73" s="20" t="s">
        <v>1320</v>
      </c>
      <c r="AA73" s="20" t="s">
        <v>1316</v>
      </c>
      <c r="AB73" s="20"/>
      <c r="AC73" s="20" t="s">
        <v>1321</v>
      </c>
      <c r="AD73" s="20" t="s">
        <v>1322</v>
      </c>
      <c r="AE73" s="20" t="s">
        <v>1323</v>
      </c>
      <c r="AF73" s="20" t="s">
        <v>1324</v>
      </c>
      <c r="AG73" s="20" t="s">
        <v>1325</v>
      </c>
      <c r="AH73" s="20" t="s">
        <v>1326</v>
      </c>
      <c r="AI73" s="25" t="str">
        <f>HYPERLINK("mailto:ymonge@icafe.cr","ymonge@icafe.cr")</f>
        <v>ymonge@icafe.cr</v>
      </c>
      <c r="AJ73" s="20" t="s">
        <v>1327</v>
      </c>
      <c r="AK73" s="20" t="s">
        <v>1323</v>
      </c>
      <c r="AL73" s="20"/>
      <c r="AM73" s="29"/>
      <c r="AN73" s="29"/>
      <c r="AO73" s="29"/>
      <c r="AP73" s="29"/>
      <c r="AQ73" s="29"/>
      <c r="AR73" s="29"/>
      <c r="AS73" s="29"/>
      <c r="AT73" s="29"/>
      <c r="AU73" s="29"/>
      <c r="AV73" s="29"/>
      <c r="AW73" s="29"/>
      <c r="AX73" s="29"/>
      <c r="AY73" s="29"/>
      <c r="AZ73" s="29"/>
      <c r="BA73" s="29"/>
      <c r="BB73" s="29"/>
      <c r="BC73" s="29"/>
      <c r="BD73" s="29"/>
      <c r="BE73" s="29"/>
      <c r="BF73" s="29"/>
    </row>
    <row r="74" ht="60.0" customHeight="1">
      <c r="A74" s="20" t="s">
        <v>1328</v>
      </c>
      <c r="B74" s="53"/>
      <c r="C74" s="20" t="s">
        <v>47</v>
      </c>
      <c r="D74" s="21" t="s">
        <v>48</v>
      </c>
      <c r="E74" s="20" t="s">
        <v>49</v>
      </c>
      <c r="F74" s="20" t="s">
        <v>1329</v>
      </c>
      <c r="G74" s="20" t="s">
        <v>1330</v>
      </c>
      <c r="H74" s="20"/>
      <c r="I74" s="23">
        <f>'17025 SAL'!$H74+$AN$1</f>
        <v>1460</v>
      </c>
      <c r="J74" s="23">
        <v>40708.0</v>
      </c>
      <c r="K74" s="20" t="s">
        <v>1331</v>
      </c>
      <c r="L74" s="20" t="s">
        <v>1332</v>
      </c>
      <c r="M74" s="34" t="s">
        <v>1333</v>
      </c>
      <c r="N74" s="25" t="s">
        <v>1334</v>
      </c>
      <c r="O74" s="20" t="s">
        <v>1335</v>
      </c>
      <c r="P74" s="20" t="s">
        <v>76</v>
      </c>
      <c r="Q74" s="20" t="s">
        <v>661</v>
      </c>
      <c r="R74" s="20" t="s">
        <v>1336</v>
      </c>
      <c r="S74" s="20" t="s">
        <v>1016</v>
      </c>
      <c r="T74" s="20" t="s">
        <v>1337</v>
      </c>
      <c r="U74" s="20" t="s">
        <v>324</v>
      </c>
      <c r="V74" s="20" t="s">
        <v>1338</v>
      </c>
      <c r="W74" s="20" t="s">
        <v>1339</v>
      </c>
      <c r="X74" s="20"/>
      <c r="Y74" s="20" t="s">
        <v>918</v>
      </c>
      <c r="Z74" s="20"/>
      <c r="AA74" s="20" t="s">
        <v>1336</v>
      </c>
      <c r="AB74" s="20"/>
      <c r="AC74" s="20" t="s">
        <v>1340</v>
      </c>
      <c r="AD74" s="20" t="s">
        <v>76</v>
      </c>
      <c r="AE74" s="20" t="s">
        <v>76</v>
      </c>
      <c r="AF74" s="20" t="s">
        <v>76</v>
      </c>
      <c r="AG74" s="20" t="s">
        <v>76</v>
      </c>
      <c r="AH74" s="20" t="s">
        <v>76</v>
      </c>
      <c r="AI74" s="20" t="s">
        <v>324</v>
      </c>
      <c r="AJ74" s="20"/>
      <c r="AK74" s="20" t="s">
        <v>1341</v>
      </c>
      <c r="AL74" s="20"/>
      <c r="AM74" s="16"/>
      <c r="AN74" s="16"/>
      <c r="AO74" s="16"/>
      <c r="AP74" s="16"/>
      <c r="AQ74" s="16"/>
      <c r="AR74" s="16"/>
      <c r="AS74" s="16"/>
      <c r="AT74" s="16"/>
      <c r="AU74" s="16"/>
      <c r="AV74" s="16"/>
      <c r="AW74" s="16"/>
      <c r="AX74" s="16"/>
      <c r="AY74" s="16"/>
      <c r="AZ74" s="16"/>
      <c r="BA74" s="16"/>
      <c r="BB74" s="16"/>
      <c r="BC74" s="16"/>
      <c r="BD74" s="16"/>
      <c r="BE74" s="16"/>
      <c r="BF74" s="16"/>
    </row>
    <row r="75" ht="60.0" customHeight="1">
      <c r="A75" s="20" t="s">
        <v>1342</v>
      </c>
      <c r="B75" s="20" t="s">
        <v>1343</v>
      </c>
      <c r="C75" s="20" t="s">
        <v>231</v>
      </c>
      <c r="D75" s="21" t="s">
        <v>48</v>
      </c>
      <c r="E75" s="20" t="s">
        <v>49</v>
      </c>
      <c r="F75" s="20" t="s">
        <v>1344</v>
      </c>
      <c r="G75" s="20" t="s">
        <v>1345</v>
      </c>
      <c r="H75" s="23">
        <v>45869.0</v>
      </c>
      <c r="I75" s="23" t="s">
        <v>76</v>
      </c>
      <c r="J75" s="23">
        <v>40582.0</v>
      </c>
      <c r="K75" s="20" t="s">
        <v>1346</v>
      </c>
      <c r="L75" s="20" t="s">
        <v>1347</v>
      </c>
      <c r="M75" s="24" t="s">
        <v>1348</v>
      </c>
      <c r="N75" s="25" t="s">
        <v>1349</v>
      </c>
      <c r="O75" s="20" t="s">
        <v>1350</v>
      </c>
      <c r="P75" s="20" t="s">
        <v>1351</v>
      </c>
      <c r="Q75" s="20" t="s">
        <v>55</v>
      </c>
      <c r="R75" s="20" t="s">
        <v>1352</v>
      </c>
      <c r="S75" s="20" t="s">
        <v>57</v>
      </c>
      <c r="T75" s="20" t="s">
        <v>1353</v>
      </c>
      <c r="U75" s="25" t="str">
        <f>HYPERLINK("http://www.met-cal.net/","www.met-cal.net")</f>
        <v>www.met-cal.net</v>
      </c>
      <c r="V75" s="20" t="s">
        <v>1354</v>
      </c>
      <c r="W75" s="20" t="s">
        <v>1355</v>
      </c>
      <c r="X75" s="20" t="s">
        <v>346</v>
      </c>
      <c r="Y75" s="20" t="s">
        <v>264</v>
      </c>
      <c r="Z75" s="20" t="s">
        <v>1356</v>
      </c>
      <c r="AA75" s="20" t="s">
        <v>1352</v>
      </c>
      <c r="AB75" s="20"/>
      <c r="AC75" s="20" t="s">
        <v>1357</v>
      </c>
      <c r="AD75" s="20" t="s">
        <v>1358</v>
      </c>
      <c r="AE75" s="20" t="s">
        <v>1358</v>
      </c>
      <c r="AF75" s="20" t="s">
        <v>1350</v>
      </c>
      <c r="AG75" s="20" t="s">
        <v>1352</v>
      </c>
      <c r="AH75" s="20" t="s">
        <v>1359</v>
      </c>
      <c r="AI75" s="25" t="str">
        <f>HYPERLINK("mailto:contabilidad@met-cal.net","contabilidad@met-cal.net")</f>
        <v>contabilidad@met-cal.net</v>
      </c>
      <c r="AJ75" s="20" t="s">
        <v>1360</v>
      </c>
      <c r="AK75" s="20" t="s">
        <v>1361</v>
      </c>
      <c r="AL75" s="20" t="s">
        <v>1362</v>
      </c>
      <c r="AM75" s="29"/>
      <c r="AN75" s="29"/>
      <c r="AO75" s="29"/>
      <c r="AP75" s="29"/>
      <c r="AQ75" s="29"/>
      <c r="AR75" s="29"/>
      <c r="AS75" s="29"/>
      <c r="AT75" s="29"/>
      <c r="AU75" s="29"/>
      <c r="AV75" s="29"/>
      <c r="AW75" s="29"/>
      <c r="AX75" s="29"/>
      <c r="AY75" s="29"/>
      <c r="AZ75" s="29"/>
      <c r="BA75" s="29"/>
      <c r="BB75" s="29"/>
      <c r="BC75" s="29"/>
      <c r="BD75" s="29"/>
      <c r="BE75" s="29"/>
      <c r="BF75" s="29"/>
    </row>
    <row r="76" ht="60.0" customHeight="1">
      <c r="A76" s="20" t="s">
        <v>1363</v>
      </c>
      <c r="B76" s="20" t="s">
        <v>134</v>
      </c>
      <c r="C76" s="20" t="s">
        <v>47</v>
      </c>
      <c r="D76" s="21" t="s">
        <v>48</v>
      </c>
      <c r="E76" s="20" t="s">
        <v>96</v>
      </c>
      <c r="F76" s="20" t="s">
        <v>1364</v>
      </c>
      <c r="G76" s="20" t="s">
        <v>1233</v>
      </c>
      <c r="H76" s="23">
        <v>45147.0</v>
      </c>
      <c r="I76" s="23">
        <f>'17025 SAL'!$H76+$AN$1</f>
        <v>46607</v>
      </c>
      <c r="J76" s="23">
        <v>40624.0</v>
      </c>
      <c r="K76" s="20"/>
      <c r="L76" s="47" t="s">
        <v>1365</v>
      </c>
      <c r="M76" s="26" t="s">
        <v>1366</v>
      </c>
      <c r="N76" s="34"/>
      <c r="O76" s="20" t="s">
        <v>1367</v>
      </c>
      <c r="P76" s="20" t="s">
        <v>324</v>
      </c>
      <c r="Q76" s="20" t="s">
        <v>55</v>
      </c>
      <c r="R76" s="20" t="s">
        <v>1368</v>
      </c>
      <c r="S76" s="20" t="s">
        <v>57</v>
      </c>
      <c r="T76" s="20" t="s">
        <v>221</v>
      </c>
      <c r="U76" s="25" t="str">
        <f>HYPERLINK("http://www.cicanum.ucr.ac.cr;/","www.cicanum.ucr.ac.cr; ")</f>
        <v>www.cicanum.ucr.ac.cr; </v>
      </c>
      <c r="V76" s="20" t="s">
        <v>144</v>
      </c>
      <c r="W76" s="20" t="s">
        <v>145</v>
      </c>
      <c r="X76" s="20" t="s">
        <v>62</v>
      </c>
      <c r="Y76" s="26" t="s">
        <v>63</v>
      </c>
      <c r="Z76" s="20" t="s">
        <v>428</v>
      </c>
      <c r="AA76" s="20" t="s">
        <v>1369</v>
      </c>
      <c r="AB76" s="20"/>
      <c r="AC76" s="20" t="s">
        <v>148</v>
      </c>
      <c r="AD76" s="20" t="s">
        <v>1370</v>
      </c>
      <c r="AE76" s="20" t="s">
        <v>1371</v>
      </c>
      <c r="AF76" s="20" t="s">
        <v>1372</v>
      </c>
      <c r="AG76" s="20" t="s">
        <v>1368</v>
      </c>
      <c r="AH76" s="20" t="s">
        <v>1373</v>
      </c>
      <c r="AI76" s="26" t="s">
        <v>1374</v>
      </c>
      <c r="AJ76" s="20" t="s">
        <v>1375</v>
      </c>
      <c r="AK76" s="20" t="s">
        <v>153</v>
      </c>
      <c r="AL76" s="20" t="s">
        <v>1376</v>
      </c>
      <c r="AM76" s="29"/>
      <c r="AN76" s="29"/>
      <c r="AO76" s="29"/>
      <c r="AP76" s="29"/>
      <c r="AQ76" s="29"/>
      <c r="AR76" s="29"/>
      <c r="AS76" s="29"/>
      <c r="AT76" s="29"/>
      <c r="AU76" s="29"/>
      <c r="AV76" s="29"/>
      <c r="AW76" s="29"/>
      <c r="AX76" s="29"/>
      <c r="AY76" s="29"/>
      <c r="AZ76" s="29"/>
      <c r="BA76" s="29"/>
      <c r="BB76" s="29"/>
      <c r="BC76" s="29"/>
      <c r="BD76" s="29"/>
      <c r="BE76" s="29"/>
      <c r="BF76" s="29"/>
    </row>
    <row r="77" ht="60.0" customHeight="1">
      <c r="A77" s="20" t="s">
        <v>1377</v>
      </c>
      <c r="B77" s="46" t="s">
        <v>355</v>
      </c>
      <c r="C77" s="20" t="s">
        <v>231</v>
      </c>
      <c r="D77" s="21" t="s">
        <v>48</v>
      </c>
      <c r="E77" s="24" t="s">
        <v>157</v>
      </c>
      <c r="F77" s="20" t="s">
        <v>1378</v>
      </c>
      <c r="G77" s="20" t="s">
        <v>1268</v>
      </c>
      <c r="H77" s="23">
        <v>44022.0</v>
      </c>
      <c r="I77" s="23">
        <f>'17025 SAL'!$H77+$AN$1</f>
        <v>45482</v>
      </c>
      <c r="J77" s="23">
        <v>40807.0</v>
      </c>
      <c r="K77" s="20"/>
      <c r="L77" s="20" t="s">
        <v>1379</v>
      </c>
      <c r="M77" s="20" t="s">
        <v>1380</v>
      </c>
      <c r="N77" s="24" t="s">
        <v>1381</v>
      </c>
      <c r="O77" s="35" t="s">
        <v>1382</v>
      </c>
      <c r="P77" s="20" t="s">
        <v>324</v>
      </c>
      <c r="Q77" s="46" t="s">
        <v>55</v>
      </c>
      <c r="R77" s="35" t="s">
        <v>1383</v>
      </c>
      <c r="S77" s="20" t="s">
        <v>57</v>
      </c>
      <c r="T77" s="67" t="s">
        <v>1384</v>
      </c>
      <c r="U77" s="38" t="s">
        <v>1385</v>
      </c>
      <c r="V77" s="26" t="s">
        <v>1386</v>
      </c>
      <c r="W77" s="20" t="s">
        <v>1387</v>
      </c>
      <c r="X77" s="20" t="s">
        <v>62</v>
      </c>
      <c r="Y77" s="20" t="s">
        <v>63</v>
      </c>
      <c r="Z77" s="20" t="s">
        <v>1388</v>
      </c>
      <c r="AA77" s="20" t="s">
        <v>1389</v>
      </c>
      <c r="AB77" s="20" t="s">
        <v>1390</v>
      </c>
      <c r="AC77" s="20" t="s">
        <v>1391</v>
      </c>
      <c r="AD77" s="20" t="s">
        <v>1392</v>
      </c>
      <c r="AE77" s="20" t="s">
        <v>355</v>
      </c>
      <c r="AF77" s="20" t="s">
        <v>1393</v>
      </c>
      <c r="AG77" s="20" t="s">
        <v>1394</v>
      </c>
      <c r="AH77" s="20" t="s">
        <v>1395</v>
      </c>
      <c r="AI77" s="38" t="s">
        <v>1396</v>
      </c>
      <c r="AJ77" s="20" t="s">
        <v>1397</v>
      </c>
      <c r="AK77" s="46" t="s">
        <v>518</v>
      </c>
      <c r="AL77" s="20" t="s">
        <v>1398</v>
      </c>
      <c r="AM77" s="16"/>
      <c r="AN77" s="16"/>
      <c r="AO77" s="16"/>
      <c r="AP77" s="16"/>
      <c r="AQ77" s="16"/>
      <c r="AR77" s="16"/>
      <c r="AS77" s="16"/>
      <c r="AT77" s="16"/>
      <c r="AU77" s="16"/>
      <c r="AV77" s="16"/>
      <c r="AW77" s="16"/>
      <c r="AX77" s="16"/>
      <c r="AY77" s="16"/>
      <c r="AZ77" s="16"/>
      <c r="BA77" s="16"/>
      <c r="BB77" s="16"/>
      <c r="BC77" s="16"/>
      <c r="BD77" s="16"/>
      <c r="BE77" s="16"/>
      <c r="BF77" s="16"/>
    </row>
    <row r="78" ht="60.0" customHeight="1">
      <c r="A78" s="20" t="s">
        <v>1399</v>
      </c>
      <c r="B78" s="20"/>
      <c r="C78" s="20" t="s">
        <v>231</v>
      </c>
      <c r="D78" s="21" t="s">
        <v>48</v>
      </c>
      <c r="E78" s="20" t="s">
        <v>96</v>
      </c>
      <c r="F78" s="20" t="s">
        <v>1400</v>
      </c>
      <c r="G78" s="20" t="s">
        <v>1401</v>
      </c>
      <c r="H78" s="23">
        <v>45681.0</v>
      </c>
      <c r="I78" s="23" t="s">
        <v>140</v>
      </c>
      <c r="J78" s="23">
        <v>40722.0</v>
      </c>
      <c r="K78" s="20"/>
      <c r="L78" s="20" t="s">
        <v>1402</v>
      </c>
      <c r="M78" s="24" t="s">
        <v>1403</v>
      </c>
      <c r="N78" s="24" t="s">
        <v>1404</v>
      </c>
      <c r="O78" s="24" t="s">
        <v>1405</v>
      </c>
      <c r="P78" s="20" t="s">
        <v>1406</v>
      </c>
      <c r="Q78" s="20" t="s">
        <v>55</v>
      </c>
      <c r="R78" s="20" t="s">
        <v>1407</v>
      </c>
      <c r="S78" s="20" t="s">
        <v>121</v>
      </c>
      <c r="T78" s="20" t="s">
        <v>386</v>
      </c>
      <c r="U78" s="20" t="s">
        <v>324</v>
      </c>
      <c r="V78" s="20" t="s">
        <v>1408</v>
      </c>
      <c r="W78" s="26" t="s">
        <v>1409</v>
      </c>
      <c r="X78" s="20" t="s">
        <v>62</v>
      </c>
      <c r="Y78" s="20" t="s">
        <v>85</v>
      </c>
      <c r="Z78" s="26" t="s">
        <v>1410</v>
      </c>
      <c r="AA78" s="26" t="s">
        <v>390</v>
      </c>
      <c r="AB78" s="26"/>
      <c r="AC78" s="20" t="s">
        <v>1411</v>
      </c>
      <c r="AD78" s="20" t="s">
        <v>1412</v>
      </c>
      <c r="AE78" s="20" t="s">
        <v>1413</v>
      </c>
      <c r="AF78" s="20" t="s">
        <v>1406</v>
      </c>
      <c r="AG78" s="20" t="s">
        <v>1407</v>
      </c>
      <c r="AH78" s="20" t="s">
        <v>1406</v>
      </c>
      <c r="AI78" s="25" t="str">
        <f>HYPERLINK("mailto:procame@una.cr","procame@una.cr")</f>
        <v>procame@una.cr</v>
      </c>
      <c r="AJ78" s="20" t="s">
        <v>1414</v>
      </c>
      <c r="AK78" s="20" t="s">
        <v>398</v>
      </c>
      <c r="AL78" s="20" t="s">
        <v>1415</v>
      </c>
      <c r="AM78" s="29"/>
      <c r="AN78" s="29"/>
      <c r="AO78" s="29"/>
      <c r="AP78" s="29"/>
      <c r="AQ78" s="29"/>
      <c r="AR78" s="29"/>
      <c r="AS78" s="29"/>
      <c r="AT78" s="29"/>
      <c r="AU78" s="29"/>
      <c r="AV78" s="29"/>
      <c r="AW78" s="29"/>
      <c r="AX78" s="29"/>
      <c r="AY78" s="29"/>
      <c r="AZ78" s="29"/>
      <c r="BA78" s="29"/>
      <c r="BB78" s="29"/>
      <c r="BC78" s="29"/>
      <c r="BD78" s="29"/>
      <c r="BE78" s="29"/>
      <c r="BF78" s="29"/>
    </row>
    <row r="79" ht="60.0" customHeight="1">
      <c r="A79" s="20" t="s">
        <v>1416</v>
      </c>
      <c r="B79" s="20"/>
      <c r="C79" s="20" t="s">
        <v>47</v>
      </c>
      <c r="D79" s="21" t="s">
        <v>213</v>
      </c>
      <c r="E79" s="20" t="s">
        <v>96</v>
      </c>
      <c r="F79" s="20" t="s">
        <v>1417</v>
      </c>
      <c r="G79" s="20" t="s">
        <v>1250</v>
      </c>
      <c r="H79" s="20"/>
      <c r="I79" s="23">
        <f>'17025 SAL'!$H79+$AN$1</f>
        <v>1460</v>
      </c>
      <c r="J79" s="23">
        <v>40673.0</v>
      </c>
      <c r="K79" s="20"/>
      <c r="L79" s="20" t="s">
        <v>1418</v>
      </c>
      <c r="M79" s="68" t="s">
        <v>1419</v>
      </c>
      <c r="N79" s="68" t="s">
        <v>1419</v>
      </c>
      <c r="O79" s="20" t="s">
        <v>1420</v>
      </c>
      <c r="P79" s="20" t="s">
        <v>1421</v>
      </c>
      <c r="Q79" s="20" t="s">
        <v>55</v>
      </c>
      <c r="R79" s="20" t="s">
        <v>1422</v>
      </c>
      <c r="S79" s="20" t="s">
        <v>57</v>
      </c>
      <c r="T79" s="20" t="s">
        <v>221</v>
      </c>
      <c r="U79" s="25" t="str">
        <f>HYPERLINK("http://www.lebi.ucr.ac.cr;/","www.lebi.ucr.ac.cr;")</f>
        <v>www.lebi.ucr.ac.cr;</v>
      </c>
      <c r="V79" s="20" t="s">
        <v>1274</v>
      </c>
      <c r="W79" s="20" t="s">
        <v>1275</v>
      </c>
      <c r="X79" s="20" t="s">
        <v>62</v>
      </c>
      <c r="Y79" s="20" t="s">
        <v>63</v>
      </c>
      <c r="Z79" s="20" t="s">
        <v>1276</v>
      </c>
      <c r="AA79" s="20" t="s">
        <v>1423</v>
      </c>
      <c r="AB79" s="20"/>
      <c r="AC79" s="20" t="s">
        <v>148</v>
      </c>
      <c r="AD79" s="20" t="s">
        <v>1424</v>
      </c>
      <c r="AE79" s="20" t="s">
        <v>134</v>
      </c>
      <c r="AF79" s="20" t="s">
        <v>1425</v>
      </c>
      <c r="AG79" s="20" t="s">
        <v>1426</v>
      </c>
      <c r="AH79" s="20" t="s">
        <v>1421</v>
      </c>
      <c r="AI79" s="25" t="str">
        <f>HYPERLINK("mailto:leda.gonzalez@ucr.ac.cr","leda.gonzalez@ucr.ac.cr")</f>
        <v>leda.gonzalez@ucr.ac.cr</v>
      </c>
      <c r="AJ79" s="20" t="s">
        <v>1427</v>
      </c>
      <c r="AK79" s="20" t="s">
        <v>153</v>
      </c>
      <c r="AL79" s="20" t="s">
        <v>1428</v>
      </c>
      <c r="AM79" s="16"/>
      <c r="AN79" s="16"/>
      <c r="AO79" s="16"/>
      <c r="AP79" s="16"/>
      <c r="AQ79" s="16"/>
      <c r="AR79" s="16"/>
      <c r="AS79" s="16"/>
      <c r="AT79" s="16"/>
      <c r="AU79" s="16"/>
      <c r="AV79" s="16"/>
      <c r="AW79" s="16"/>
      <c r="AX79" s="16"/>
      <c r="AY79" s="16"/>
      <c r="AZ79" s="16"/>
      <c r="BA79" s="16"/>
      <c r="BB79" s="16"/>
      <c r="BC79" s="16"/>
      <c r="BD79" s="16"/>
      <c r="BE79" s="16"/>
      <c r="BF79" s="16"/>
    </row>
    <row r="80" ht="60.0" customHeight="1">
      <c r="A80" s="20" t="s">
        <v>1429</v>
      </c>
      <c r="B80" s="20" t="s">
        <v>1429</v>
      </c>
      <c r="C80" s="20" t="s">
        <v>231</v>
      </c>
      <c r="D80" s="21" t="s">
        <v>213</v>
      </c>
      <c r="E80" s="20" t="s">
        <v>49</v>
      </c>
      <c r="F80" s="20" t="s">
        <v>1430</v>
      </c>
      <c r="G80" s="20" t="s">
        <v>1431</v>
      </c>
      <c r="H80" s="20"/>
      <c r="I80" s="23">
        <f>'17025 SAL'!$H80+$AN$1</f>
        <v>1460</v>
      </c>
      <c r="J80" s="23">
        <v>40813.0</v>
      </c>
      <c r="K80" s="20"/>
      <c r="L80" s="26" t="s">
        <v>1432</v>
      </c>
      <c r="M80" s="26" t="s">
        <v>1433</v>
      </c>
      <c r="N80" s="49" t="s">
        <v>1434</v>
      </c>
      <c r="O80" s="20">
        <v>4.0001816E7</v>
      </c>
      <c r="P80" s="20" t="s">
        <v>324</v>
      </c>
      <c r="Q80" s="20" t="s">
        <v>55</v>
      </c>
      <c r="R80" s="20" t="s">
        <v>1435</v>
      </c>
      <c r="S80" s="20" t="s">
        <v>121</v>
      </c>
      <c r="T80" s="20" t="s">
        <v>1436</v>
      </c>
      <c r="U80" s="25" t="str">
        <f>HYPERLINK("http://www.romanasballar.com/","www.romanasballar.com")</f>
        <v>www.romanasballar.com</v>
      </c>
      <c r="V80" s="20" t="s">
        <v>1437</v>
      </c>
      <c r="W80" s="20" t="s">
        <v>1438</v>
      </c>
      <c r="X80" s="20" t="s">
        <v>1439</v>
      </c>
      <c r="Y80" s="20" t="s">
        <v>264</v>
      </c>
      <c r="Z80" s="20" t="s">
        <v>1440</v>
      </c>
      <c r="AA80" s="20" t="s">
        <v>1435</v>
      </c>
      <c r="AB80" s="20"/>
      <c r="AC80" s="20" t="s">
        <v>67</v>
      </c>
      <c r="AD80" s="20" t="s">
        <v>1441</v>
      </c>
      <c r="AE80" s="20" t="s">
        <v>1429</v>
      </c>
      <c r="AF80" s="20">
        <v>4.0001816E7</v>
      </c>
      <c r="AG80" s="20" t="s">
        <v>1435</v>
      </c>
      <c r="AH80" s="20" t="s">
        <v>324</v>
      </c>
      <c r="AI80" s="34" t="str">
        <f>HYPERLINK("mailto:iballar@romanasballar.com","iballar@romanasballar.com")</f>
        <v>iballar@romanasballar.com</v>
      </c>
      <c r="AJ80" s="20" t="s">
        <v>1442</v>
      </c>
      <c r="AK80" s="20" t="s">
        <v>1429</v>
      </c>
      <c r="AL80" s="20" t="s">
        <v>1443</v>
      </c>
      <c r="AM80" s="29"/>
      <c r="AN80" s="29"/>
      <c r="AO80" s="29"/>
      <c r="AP80" s="29"/>
      <c r="AQ80" s="29"/>
      <c r="AR80" s="29"/>
      <c r="AS80" s="29"/>
      <c r="AT80" s="29"/>
      <c r="AU80" s="29"/>
      <c r="AV80" s="29"/>
      <c r="AW80" s="29"/>
      <c r="AX80" s="29"/>
      <c r="AY80" s="29"/>
      <c r="AZ80" s="29"/>
      <c r="BA80" s="29"/>
      <c r="BB80" s="29"/>
      <c r="BC80" s="29"/>
      <c r="BD80" s="29"/>
      <c r="BE80" s="29"/>
      <c r="BF80" s="29"/>
    </row>
    <row r="81" ht="60.0" customHeight="1">
      <c r="A81" s="20" t="s">
        <v>1444</v>
      </c>
      <c r="B81" s="20"/>
      <c r="C81" s="20" t="s">
        <v>47</v>
      </c>
      <c r="D81" s="21" t="s">
        <v>48</v>
      </c>
      <c r="E81" s="20" t="s">
        <v>49</v>
      </c>
      <c r="F81" s="20" t="s">
        <v>1445</v>
      </c>
      <c r="G81" s="20" t="s">
        <v>1446</v>
      </c>
      <c r="H81" s="23">
        <v>45378.0</v>
      </c>
      <c r="I81" s="23">
        <f>'17025 SAL'!$H81+$AN$1</f>
        <v>46838</v>
      </c>
      <c r="J81" s="23">
        <v>40890.0</v>
      </c>
      <c r="K81" s="20"/>
      <c r="L81" s="20" t="s">
        <v>1447</v>
      </c>
      <c r="M81" s="24" t="s">
        <v>1448</v>
      </c>
      <c r="N81" s="31" t="s">
        <v>1449</v>
      </c>
      <c r="O81" s="20" t="s">
        <v>1450</v>
      </c>
      <c r="P81" s="20" t="s">
        <v>730</v>
      </c>
      <c r="Q81" s="20" t="s">
        <v>55</v>
      </c>
      <c r="R81" s="20" t="s">
        <v>1451</v>
      </c>
      <c r="S81" s="20" t="s">
        <v>979</v>
      </c>
      <c r="T81" s="34" t="str">
        <f>HYPERLINK("http://www.laboratoriobiotec.com/","3-101-317177 ")</f>
        <v>3-101-317177 </v>
      </c>
      <c r="U81" s="25" t="str">
        <f>HYPERLINK("http://www.laboratoriobiotec.com/","www.laboratoriobiotec.com")</f>
        <v>www.laboratoriobiotec.com</v>
      </c>
      <c r="V81" s="20" t="s">
        <v>1452</v>
      </c>
      <c r="W81" s="20" t="s">
        <v>1453</v>
      </c>
      <c r="X81" s="20" t="s">
        <v>62</v>
      </c>
      <c r="Y81" s="20" t="s">
        <v>63</v>
      </c>
      <c r="Z81" s="20" t="s">
        <v>188</v>
      </c>
      <c r="AA81" s="20" t="s">
        <v>1451</v>
      </c>
      <c r="AB81" s="20"/>
      <c r="AC81" s="20" t="s">
        <v>1454</v>
      </c>
      <c r="AD81" s="20" t="s">
        <v>1455</v>
      </c>
      <c r="AE81" s="20" t="s">
        <v>1456</v>
      </c>
      <c r="AF81" s="20" t="s">
        <v>1450</v>
      </c>
      <c r="AG81" s="20" t="s">
        <v>1451</v>
      </c>
      <c r="AH81" s="20" t="s">
        <v>730</v>
      </c>
      <c r="AI81" s="25" t="str">
        <f>HYPERLINK("mailto:facturaciones@laboratoriobiotec.com","facturaciones@laboratoriobiotec.com")</f>
        <v>facturaciones@laboratoriobiotec.com</v>
      </c>
      <c r="AJ81" s="20" t="s">
        <v>1457</v>
      </c>
      <c r="AK81" s="20" t="s">
        <v>1458</v>
      </c>
      <c r="AL81" s="20"/>
      <c r="AM81" s="16"/>
      <c r="AN81" s="16"/>
      <c r="AO81" s="16"/>
      <c r="AP81" s="16"/>
      <c r="AQ81" s="16"/>
      <c r="AR81" s="16"/>
      <c r="AS81" s="16"/>
      <c r="AT81" s="16"/>
      <c r="AU81" s="16"/>
      <c r="AV81" s="16"/>
      <c r="AW81" s="16"/>
      <c r="AX81" s="16"/>
      <c r="AY81" s="16"/>
      <c r="AZ81" s="16"/>
      <c r="BA81" s="16"/>
      <c r="BB81" s="16"/>
      <c r="BC81" s="16"/>
      <c r="BD81" s="16"/>
      <c r="BE81" s="16"/>
      <c r="BF81" s="16"/>
    </row>
    <row r="82" ht="60.0" customHeight="1">
      <c r="A82" s="20" t="s">
        <v>1459</v>
      </c>
      <c r="B82" s="20"/>
      <c r="C82" s="20" t="s">
        <v>47</v>
      </c>
      <c r="D82" s="21" t="s">
        <v>213</v>
      </c>
      <c r="E82" s="20" t="s">
        <v>49</v>
      </c>
      <c r="F82" s="20" t="s">
        <v>1460</v>
      </c>
      <c r="G82" s="20" t="s">
        <v>1461</v>
      </c>
      <c r="H82" s="20"/>
      <c r="I82" s="23">
        <f>'17025 SAL'!$H82+$AN$1</f>
        <v>1460</v>
      </c>
      <c r="J82" s="23">
        <v>40582.0</v>
      </c>
      <c r="K82" s="20"/>
      <c r="L82" s="20" t="s">
        <v>1462</v>
      </c>
      <c r="M82" s="68" t="s">
        <v>1463</v>
      </c>
      <c r="N82" s="68" t="s">
        <v>1464</v>
      </c>
      <c r="O82" s="20" t="s">
        <v>1465</v>
      </c>
      <c r="P82" s="20" t="s">
        <v>1466</v>
      </c>
      <c r="Q82" s="20" t="s">
        <v>1135</v>
      </c>
      <c r="R82" s="26" t="s">
        <v>1467</v>
      </c>
      <c r="S82" s="20" t="s">
        <v>1137</v>
      </c>
      <c r="T82" s="20" t="s">
        <v>1468</v>
      </c>
      <c r="U82" s="25" t="str">
        <f>HYPERLINK("http://www.codocafe.gov.do/","www.codocafe.gov.do")</f>
        <v>www.codocafe.gov.do</v>
      </c>
      <c r="V82" s="20" t="s">
        <v>1469</v>
      </c>
      <c r="W82" s="20" t="s">
        <v>1470</v>
      </c>
      <c r="X82" s="20" t="s">
        <v>346</v>
      </c>
      <c r="Y82" s="20" t="s">
        <v>1471</v>
      </c>
      <c r="Z82" s="20" t="s">
        <v>1472</v>
      </c>
      <c r="AA82" s="53" t="s">
        <v>1473</v>
      </c>
      <c r="AB82" s="53"/>
      <c r="AC82" s="20" t="s">
        <v>1142</v>
      </c>
      <c r="AD82" s="20" t="s">
        <v>1474</v>
      </c>
      <c r="AE82" s="20" t="s">
        <v>1475</v>
      </c>
      <c r="AF82" s="20" t="s">
        <v>1465</v>
      </c>
      <c r="AG82" s="20" t="s">
        <v>1476</v>
      </c>
      <c r="AH82" s="20" t="s">
        <v>1466</v>
      </c>
      <c r="AI82" s="25" t="str">
        <f>HYPERLINK("mailto:info@codocafe.gob.do","info@codocafe.gob.do")</f>
        <v>info@codocafe.gob.do</v>
      </c>
      <c r="AJ82" s="20" t="s">
        <v>1477</v>
      </c>
      <c r="AK82" s="20" t="s">
        <v>1478</v>
      </c>
      <c r="AL82" s="20"/>
      <c r="AM82" s="29"/>
      <c r="AN82" s="29"/>
      <c r="AO82" s="29"/>
      <c r="AP82" s="29"/>
      <c r="AQ82" s="29"/>
      <c r="AR82" s="29"/>
      <c r="AS82" s="29"/>
      <c r="AT82" s="29"/>
      <c r="AU82" s="29"/>
      <c r="AV82" s="29"/>
      <c r="AW82" s="29"/>
      <c r="AX82" s="29"/>
      <c r="AY82" s="29"/>
      <c r="AZ82" s="29"/>
      <c r="BA82" s="29"/>
      <c r="BB82" s="29"/>
      <c r="BC82" s="29"/>
      <c r="BD82" s="29"/>
      <c r="BE82" s="29"/>
      <c r="BF82" s="29"/>
    </row>
    <row r="83" ht="60.0" customHeight="1">
      <c r="A83" s="20" t="s">
        <v>1479</v>
      </c>
      <c r="B83" s="20" t="s">
        <v>1480</v>
      </c>
      <c r="C83" s="20" t="s">
        <v>47</v>
      </c>
      <c r="D83" s="21" t="s">
        <v>48</v>
      </c>
      <c r="E83" s="20" t="s">
        <v>49</v>
      </c>
      <c r="F83" s="20" t="s">
        <v>1481</v>
      </c>
      <c r="G83" s="20" t="s">
        <v>1311</v>
      </c>
      <c r="H83" s="23">
        <v>43893.0</v>
      </c>
      <c r="I83" s="23">
        <f>'17025 SAL'!$H83+$AN$1</f>
        <v>45353</v>
      </c>
      <c r="J83" s="23">
        <v>40925.0</v>
      </c>
      <c r="K83" s="20" t="s">
        <v>1482</v>
      </c>
      <c r="L83" s="20" t="s">
        <v>1483</v>
      </c>
      <c r="M83" s="24" t="s">
        <v>1484</v>
      </c>
      <c r="N83" s="24" t="s">
        <v>1485</v>
      </c>
      <c r="O83" s="20" t="s">
        <v>1486</v>
      </c>
      <c r="P83" s="20" t="s">
        <v>1487</v>
      </c>
      <c r="Q83" s="20" t="s">
        <v>55</v>
      </c>
      <c r="R83" s="20" t="s">
        <v>1488</v>
      </c>
      <c r="S83" s="20" t="s">
        <v>104</v>
      </c>
      <c r="T83" s="20" t="s">
        <v>1489</v>
      </c>
      <c r="U83" s="25" t="str">
        <f>HYPERLINK("http://www.holcim.com/","www.holcim.com")</f>
        <v>www.holcim.com</v>
      </c>
      <c r="V83" s="20" t="s">
        <v>1490</v>
      </c>
      <c r="W83" s="62">
        <v>1.22201499127E11</v>
      </c>
      <c r="X83" s="20" t="s">
        <v>529</v>
      </c>
      <c r="Y83" s="20" t="s">
        <v>573</v>
      </c>
      <c r="Z83" s="20" t="s">
        <v>167</v>
      </c>
      <c r="AA83" s="20" t="s">
        <v>1488</v>
      </c>
      <c r="AB83" s="20"/>
      <c r="AC83" s="20" t="s">
        <v>1491</v>
      </c>
      <c r="AD83" s="20" t="s">
        <v>1492</v>
      </c>
      <c r="AE83" s="20" t="s">
        <v>1493</v>
      </c>
      <c r="AF83" s="20" t="s">
        <v>1494</v>
      </c>
      <c r="AG83" s="20" t="s">
        <v>1488</v>
      </c>
      <c r="AH83" s="20" t="s">
        <v>1495</v>
      </c>
      <c r="AI83" s="34" t="s">
        <v>1496</v>
      </c>
      <c r="AJ83" s="20" t="s">
        <v>1497</v>
      </c>
      <c r="AK83" s="20" t="s">
        <v>1498</v>
      </c>
      <c r="AL83" s="20" t="s">
        <v>1499</v>
      </c>
      <c r="AM83" s="69"/>
      <c r="AN83" s="69"/>
      <c r="AO83" s="69"/>
      <c r="AP83" s="69"/>
      <c r="AQ83" s="69"/>
      <c r="AR83" s="69"/>
      <c r="AS83" s="69"/>
      <c r="AT83" s="69"/>
      <c r="AU83" s="69"/>
      <c r="AV83" s="69"/>
      <c r="AW83" s="69"/>
      <c r="AX83" s="69"/>
      <c r="AY83" s="69"/>
      <c r="AZ83" s="69"/>
      <c r="BA83" s="69"/>
      <c r="BB83" s="69"/>
      <c r="BC83" s="69"/>
      <c r="BD83" s="69"/>
      <c r="BE83" s="69"/>
      <c r="BF83" s="69"/>
    </row>
    <row r="84" ht="60.0" customHeight="1">
      <c r="A84" s="20" t="s">
        <v>1500</v>
      </c>
      <c r="B84" s="53"/>
      <c r="C84" s="20" t="s">
        <v>47</v>
      </c>
      <c r="D84" s="21" t="s">
        <v>213</v>
      </c>
      <c r="E84" s="20" t="s">
        <v>49</v>
      </c>
      <c r="F84" s="20" t="s">
        <v>1501</v>
      </c>
      <c r="G84" s="20" t="s">
        <v>1329</v>
      </c>
      <c r="H84" s="20"/>
      <c r="I84" s="23">
        <f>'17025 SAL'!$H84+$AN$1</f>
        <v>1460</v>
      </c>
      <c r="J84" s="23">
        <v>40953.0</v>
      </c>
      <c r="K84" s="20"/>
      <c r="L84" s="20" t="s">
        <v>1502</v>
      </c>
      <c r="M84" s="20" t="s">
        <v>1503</v>
      </c>
      <c r="N84" s="48" t="s">
        <v>1504</v>
      </c>
      <c r="O84" s="20" t="s">
        <v>1505</v>
      </c>
      <c r="P84" s="20" t="s">
        <v>1506</v>
      </c>
      <c r="Q84" s="20" t="s">
        <v>1135</v>
      </c>
      <c r="R84" s="20" t="s">
        <v>1507</v>
      </c>
      <c r="S84" s="20" t="s">
        <v>1137</v>
      </c>
      <c r="T84" s="20">
        <v>1.01128542E8</v>
      </c>
      <c r="U84" s="25" t="str">
        <f>HYPERLINK("http://www.labreferencia.com;/","www.labreferencia.com;")</f>
        <v>www.labreferencia.com;</v>
      </c>
      <c r="V84" s="20" t="s">
        <v>1508</v>
      </c>
      <c r="W84" s="20" t="s">
        <v>1509</v>
      </c>
      <c r="X84" s="20" t="s">
        <v>84</v>
      </c>
      <c r="Y84" s="20" t="s">
        <v>1510</v>
      </c>
      <c r="Z84" s="20" t="s">
        <v>1511</v>
      </c>
      <c r="AA84" s="20" t="s">
        <v>1512</v>
      </c>
      <c r="AB84" s="20"/>
      <c r="AC84" s="20" t="s">
        <v>1513</v>
      </c>
      <c r="AD84" s="20" t="s">
        <v>1514</v>
      </c>
      <c r="AE84" s="20" t="s">
        <v>1515</v>
      </c>
      <c r="AF84" s="20" t="s">
        <v>1516</v>
      </c>
      <c r="AG84" s="20" t="s">
        <v>1517</v>
      </c>
      <c r="AH84" s="20" t="s">
        <v>1518</v>
      </c>
      <c r="AI84" s="25" t="s">
        <v>1519</v>
      </c>
      <c r="AJ84" s="20" t="s">
        <v>1520</v>
      </c>
      <c r="AK84" s="20" t="s">
        <v>1500</v>
      </c>
      <c r="AL84" s="20" t="s">
        <v>1521</v>
      </c>
      <c r="AM84" s="29"/>
      <c r="AN84" s="29"/>
      <c r="AO84" s="29"/>
      <c r="AP84" s="29"/>
      <c r="AQ84" s="29"/>
      <c r="AR84" s="29"/>
      <c r="AS84" s="29"/>
      <c r="AT84" s="29"/>
      <c r="AU84" s="29"/>
      <c r="AV84" s="29"/>
      <c r="AW84" s="29"/>
      <c r="AX84" s="29"/>
      <c r="AY84" s="29"/>
      <c r="AZ84" s="29"/>
      <c r="BA84" s="29"/>
      <c r="BB84" s="29"/>
      <c r="BC84" s="29"/>
      <c r="BD84" s="29"/>
      <c r="BE84" s="29"/>
      <c r="BF84" s="29"/>
    </row>
    <row r="85" ht="60.0" customHeight="1">
      <c r="A85" s="20" t="s">
        <v>1522</v>
      </c>
      <c r="B85" s="20"/>
      <c r="C85" s="20" t="s">
        <v>47</v>
      </c>
      <c r="D85" s="21" t="s">
        <v>48</v>
      </c>
      <c r="E85" s="20" t="s">
        <v>49</v>
      </c>
      <c r="F85" s="20" t="s">
        <v>1523</v>
      </c>
      <c r="G85" s="20" t="s">
        <v>1364</v>
      </c>
      <c r="H85" s="23">
        <v>45385.0</v>
      </c>
      <c r="I85" s="23">
        <f>'17025 SAL'!$H85+$AN$1</f>
        <v>46845</v>
      </c>
      <c r="J85" s="23">
        <v>41037.0</v>
      </c>
      <c r="K85" s="20" t="s">
        <v>1524</v>
      </c>
      <c r="L85" s="20" t="s">
        <v>1525</v>
      </c>
      <c r="M85" s="24" t="s">
        <v>1526</v>
      </c>
      <c r="N85" s="25"/>
      <c r="O85" s="26" t="s">
        <v>1527</v>
      </c>
      <c r="P85" s="20" t="s">
        <v>1528</v>
      </c>
      <c r="Q85" s="20" t="s">
        <v>55</v>
      </c>
      <c r="R85" s="20" t="s">
        <v>1529</v>
      </c>
      <c r="S85" s="20" t="s">
        <v>121</v>
      </c>
      <c r="T85" s="20" t="s">
        <v>1530</v>
      </c>
      <c r="U85" s="34" t="str">
        <f>HYPERLINK("http://www.proxtronicscr.com/","www.proxtronicscr.com")</f>
        <v>www.proxtronicscr.com</v>
      </c>
      <c r="V85" s="20" t="s">
        <v>1531</v>
      </c>
      <c r="W85" s="20" t="s">
        <v>1532</v>
      </c>
      <c r="X85" s="20" t="s">
        <v>62</v>
      </c>
      <c r="Y85" s="20" t="s">
        <v>63</v>
      </c>
      <c r="Z85" s="20" t="s">
        <v>1533</v>
      </c>
      <c r="AA85" s="20" t="s">
        <v>1534</v>
      </c>
      <c r="AB85" s="20"/>
      <c r="AC85" s="20" t="s">
        <v>67</v>
      </c>
      <c r="AD85" s="20" t="s">
        <v>1535</v>
      </c>
      <c r="AE85" s="20" t="s">
        <v>1536</v>
      </c>
      <c r="AF85" s="20" t="s">
        <v>1528</v>
      </c>
      <c r="AG85" s="20" t="s">
        <v>1534</v>
      </c>
      <c r="AH85" s="20" t="s">
        <v>324</v>
      </c>
      <c r="AI85" s="25" t="str">
        <f>HYPERLINK("mailto:servicio@proxtronicscr.com","servicio@proxtronicscr.com")</f>
        <v>servicio@proxtronicscr.com</v>
      </c>
      <c r="AJ85" s="20" t="s">
        <v>1537</v>
      </c>
      <c r="AK85" s="20" t="s">
        <v>1522</v>
      </c>
      <c r="AL85" s="20"/>
      <c r="AM85" s="29"/>
      <c r="AN85" s="29"/>
      <c r="AO85" s="29"/>
      <c r="AP85" s="29"/>
      <c r="AQ85" s="29"/>
      <c r="AR85" s="29"/>
      <c r="AS85" s="29"/>
      <c r="AT85" s="29"/>
      <c r="AU85" s="29"/>
      <c r="AV85" s="29"/>
      <c r="AW85" s="29"/>
      <c r="AX85" s="29"/>
      <c r="AY85" s="29"/>
      <c r="AZ85" s="29"/>
      <c r="BA85" s="29"/>
      <c r="BB85" s="29"/>
      <c r="BC85" s="29"/>
      <c r="BD85" s="29"/>
      <c r="BE85" s="29"/>
      <c r="BF85" s="29"/>
    </row>
    <row r="86" ht="60.0" customHeight="1">
      <c r="A86" s="26" t="s">
        <v>1538</v>
      </c>
      <c r="B86" s="26" t="s">
        <v>355</v>
      </c>
      <c r="C86" s="26" t="s">
        <v>47</v>
      </c>
      <c r="D86" s="21" t="s">
        <v>213</v>
      </c>
      <c r="E86" s="26" t="s">
        <v>157</v>
      </c>
      <c r="F86" s="26" t="s">
        <v>1539</v>
      </c>
      <c r="G86" s="26" t="s">
        <v>1540</v>
      </c>
      <c r="H86" s="26"/>
      <c r="I86" s="23">
        <f>'17025 SAL'!$H86+$AN$1</f>
        <v>1460</v>
      </c>
      <c r="J86" s="22">
        <v>41051.0</v>
      </c>
      <c r="K86" s="26"/>
      <c r="L86" s="26" t="s">
        <v>1541</v>
      </c>
      <c r="M86" s="68" t="str">
        <f>HYPERLINK("mailto:jroblesco@ice.go.cr;","jroblesco@ice.go.cr; ")</f>
        <v>jroblesco@ice.go.cr; </v>
      </c>
      <c r="N86" s="68" t="str">
        <f>HYPERLINK("mailto:jroblesco@outlook.com","jroblesco@outlook.com")</f>
        <v>jroblesco@outlook.com</v>
      </c>
      <c r="O86" s="26" t="s">
        <v>1542</v>
      </c>
      <c r="P86" s="26" t="s">
        <v>1543</v>
      </c>
      <c r="Q86" s="26" t="s">
        <v>55</v>
      </c>
      <c r="R86" s="26" t="s">
        <v>1544</v>
      </c>
      <c r="S86" s="26" t="s">
        <v>57</v>
      </c>
      <c r="T86" s="56" t="str">
        <f>HYPERLINK("http://www.grupoice.com/wps/portal/AcercaICE_investigaCorrosion","4 0000 42139 ")</f>
        <v>4 0000 42139 </v>
      </c>
      <c r="U86" s="56" t="str">
        <f>HYPERLINK("http://www.grupoice.com/wps/portal/AcercaICE_investigaCorrosion","http://www.grupoice.com/wps/portal/AcercaICE_investigaCorrosion")</f>
        <v>http://www.grupoice.com/wps/portal/AcercaICE_investigaCorrosion</v>
      </c>
      <c r="V86" s="26" t="s">
        <v>1545</v>
      </c>
      <c r="W86" s="26" t="s">
        <v>1546</v>
      </c>
      <c r="X86" s="26" t="s">
        <v>1547</v>
      </c>
      <c r="Y86" s="26" t="s">
        <v>85</v>
      </c>
      <c r="Z86" s="26" t="s">
        <v>1548</v>
      </c>
      <c r="AA86" s="26" t="s">
        <v>1549</v>
      </c>
      <c r="AB86" s="26"/>
      <c r="AC86" s="26" t="s">
        <v>1550</v>
      </c>
      <c r="AD86" s="26" t="s">
        <v>324</v>
      </c>
      <c r="AE86" s="26" t="s">
        <v>1551</v>
      </c>
      <c r="AF86" s="26" t="s">
        <v>513</v>
      </c>
      <c r="AG86" s="26" t="s">
        <v>1552</v>
      </c>
      <c r="AH86" s="26" t="s">
        <v>515</v>
      </c>
      <c r="AI86" s="56" t="str">
        <f>HYPERLINK("mailto:CRojasZ@ice.go.cr","CRojasZ@ice.go.cr")</f>
        <v>CRojasZ@ice.go.cr</v>
      </c>
      <c r="AJ86" s="26" t="s">
        <v>1553</v>
      </c>
      <c r="AK86" s="26" t="s">
        <v>518</v>
      </c>
      <c r="AL86" s="26"/>
      <c r="AM86" s="70"/>
      <c r="AN86" s="70"/>
      <c r="AO86" s="70"/>
      <c r="AP86" s="70"/>
      <c r="AQ86" s="70"/>
      <c r="AR86" s="70"/>
      <c r="AS86" s="70"/>
      <c r="AT86" s="70"/>
      <c r="AU86" s="70"/>
      <c r="AV86" s="70"/>
      <c r="AW86" s="70"/>
      <c r="AX86" s="16"/>
      <c r="AY86" s="16"/>
      <c r="AZ86" s="16"/>
      <c r="BA86" s="16"/>
      <c r="BB86" s="16"/>
      <c r="BC86" s="16"/>
      <c r="BD86" s="16"/>
      <c r="BE86" s="16"/>
      <c r="BF86" s="16"/>
    </row>
    <row r="87" ht="60.0" customHeight="1">
      <c r="A87" s="20" t="s">
        <v>1554</v>
      </c>
      <c r="B87" s="20" t="s">
        <v>355</v>
      </c>
      <c r="C87" s="20" t="s">
        <v>47</v>
      </c>
      <c r="D87" s="21" t="s">
        <v>48</v>
      </c>
      <c r="E87" s="20" t="s">
        <v>157</v>
      </c>
      <c r="F87" s="20" t="s">
        <v>1555</v>
      </c>
      <c r="G87" s="20" t="s">
        <v>1556</v>
      </c>
      <c r="H87" s="23">
        <v>44348.0</v>
      </c>
      <c r="I87" s="23">
        <f>'17025 SAL'!$H87+$AN$1</f>
        <v>45808</v>
      </c>
      <c r="J87" s="23">
        <v>41051.0</v>
      </c>
      <c r="K87" s="20" t="s">
        <v>1557</v>
      </c>
      <c r="L87" s="53" t="s">
        <v>1541</v>
      </c>
      <c r="M87" s="32" t="s">
        <v>1558</v>
      </c>
      <c r="N87" s="24" t="s">
        <v>1559</v>
      </c>
      <c r="O87" s="20" t="s">
        <v>1542</v>
      </c>
      <c r="P87" s="20" t="s">
        <v>1543</v>
      </c>
      <c r="Q87" s="20" t="s">
        <v>55</v>
      </c>
      <c r="R87" s="20" t="s">
        <v>1544</v>
      </c>
      <c r="S87" s="20" t="s">
        <v>57</v>
      </c>
      <c r="T87" s="20" t="s">
        <v>1560</v>
      </c>
      <c r="U87" s="38" t="s">
        <v>1561</v>
      </c>
      <c r="V87" s="26" t="s">
        <v>528</v>
      </c>
      <c r="W87" s="26">
        <v>3.02970039E8</v>
      </c>
      <c r="X87" s="26" t="s">
        <v>529</v>
      </c>
      <c r="Y87" s="26" t="s">
        <v>508</v>
      </c>
      <c r="Z87" s="26" t="s">
        <v>530</v>
      </c>
      <c r="AA87" s="26" t="s">
        <v>531</v>
      </c>
      <c r="AB87" s="38" t="s">
        <v>532</v>
      </c>
      <c r="AC87" s="20" t="s">
        <v>533</v>
      </c>
      <c r="AD87" s="20" t="s">
        <v>534</v>
      </c>
      <c r="AE87" s="20" t="s">
        <v>535</v>
      </c>
      <c r="AF87" s="20" t="s">
        <v>536</v>
      </c>
      <c r="AG87" s="26" t="s">
        <v>531</v>
      </c>
      <c r="AH87" s="20" t="s">
        <v>76</v>
      </c>
      <c r="AI87" s="38" t="s">
        <v>537</v>
      </c>
      <c r="AJ87" s="20" t="s">
        <v>1553</v>
      </c>
      <c r="AK87" s="20" t="s">
        <v>518</v>
      </c>
      <c r="AL87" s="20"/>
      <c r="AM87" s="16"/>
      <c r="AN87" s="16"/>
      <c r="AO87" s="16"/>
      <c r="AP87" s="16"/>
      <c r="AQ87" s="16"/>
      <c r="AR87" s="16"/>
      <c r="AS87" s="16"/>
      <c r="AT87" s="16"/>
      <c r="AU87" s="16"/>
      <c r="AV87" s="16"/>
      <c r="AW87" s="16"/>
      <c r="AX87" s="16"/>
      <c r="AY87" s="16"/>
      <c r="AZ87" s="16"/>
      <c r="BA87" s="16"/>
      <c r="BB87" s="16"/>
      <c r="BC87" s="16"/>
      <c r="BD87" s="16"/>
      <c r="BE87" s="16"/>
      <c r="BF87" s="16"/>
    </row>
    <row r="88" ht="60.0" customHeight="1">
      <c r="A88" s="26" t="s">
        <v>1562</v>
      </c>
      <c r="B88" s="26"/>
      <c r="C88" s="26" t="s">
        <v>47</v>
      </c>
      <c r="D88" s="21" t="s">
        <v>213</v>
      </c>
      <c r="E88" s="26" t="s">
        <v>49</v>
      </c>
      <c r="F88" s="26" t="s">
        <v>1563</v>
      </c>
      <c r="G88" s="26" t="s">
        <v>1564</v>
      </c>
      <c r="H88" s="26"/>
      <c r="I88" s="23">
        <f>'17025 SAL'!$H88+$AN$1</f>
        <v>1460</v>
      </c>
      <c r="J88" s="22">
        <v>41220.0</v>
      </c>
      <c r="K88" s="26"/>
      <c r="L88" s="26" t="s">
        <v>1565</v>
      </c>
      <c r="M88" s="64" t="str">
        <f>HYPERLINK("mailto:DMorales1@cr.freshdelmonte.com;","DMorales1@cr.freshdelmonte.com; sanchez.kattia@cr.freshdelmonte.com")</f>
        <v>DMorales1@cr.freshdelmonte.com; sanchez.kattia@cr.freshdelmonte.com</v>
      </c>
      <c r="N88" s="71" t="s">
        <v>1566</v>
      </c>
      <c r="O88" s="26" t="s">
        <v>1567</v>
      </c>
      <c r="P88" s="26" t="s">
        <v>1568</v>
      </c>
      <c r="Q88" s="26" t="s">
        <v>55</v>
      </c>
      <c r="R88" s="26" t="s">
        <v>1569</v>
      </c>
      <c r="S88" s="26" t="s">
        <v>1570</v>
      </c>
      <c r="T88" s="26" t="s">
        <v>1571</v>
      </c>
      <c r="U88" s="26" t="s">
        <v>324</v>
      </c>
      <c r="V88" s="26" t="s">
        <v>1572</v>
      </c>
      <c r="W88" s="26" t="s">
        <v>1573</v>
      </c>
      <c r="X88" s="26" t="s">
        <v>62</v>
      </c>
      <c r="Y88" s="26" t="s">
        <v>63</v>
      </c>
      <c r="Z88" s="26" t="s">
        <v>1574</v>
      </c>
      <c r="AA88" s="56" t="str">
        <f>HYPERLINK("mailto:DMorales1@cr.freshdelmonte.com;","DMorales1@cr.freshdelmonte.com; sanchez.kattia@cr.freshdelmonte.com")</f>
        <v>DMorales1@cr.freshdelmonte.com; sanchez.kattia@cr.freshdelmonte.com</v>
      </c>
      <c r="AB88" s="56"/>
      <c r="AC88" s="26" t="s">
        <v>1575</v>
      </c>
      <c r="AD88" s="26" t="s">
        <v>1576</v>
      </c>
      <c r="AE88" s="26" t="s">
        <v>1577</v>
      </c>
      <c r="AF88" s="26" t="s">
        <v>1578</v>
      </c>
      <c r="AG88" s="26" t="s">
        <v>1569</v>
      </c>
      <c r="AH88" s="26" t="s">
        <v>1568</v>
      </c>
      <c r="AI88" s="56" t="str">
        <f>HYPERLINK("mailto:sanchez.kattia@cr.freshdelmonte.com","sanchez.kattia@cr.freshdelmonte.com")</f>
        <v>sanchez.kattia@cr.freshdelmonte.com</v>
      </c>
      <c r="AJ88" s="26" t="s">
        <v>1579</v>
      </c>
      <c r="AK88" s="26" t="s">
        <v>1580</v>
      </c>
      <c r="AL88" s="26" t="s">
        <v>1581</v>
      </c>
      <c r="AM88" s="16"/>
      <c r="AN88" s="16"/>
      <c r="AO88" s="16"/>
      <c r="AP88" s="16"/>
      <c r="AQ88" s="16"/>
      <c r="AR88" s="16"/>
      <c r="AS88" s="16"/>
      <c r="AT88" s="16"/>
      <c r="AU88" s="16"/>
      <c r="AV88" s="16"/>
      <c r="AW88" s="16"/>
      <c r="AX88" s="16"/>
      <c r="AY88" s="16"/>
      <c r="AZ88" s="16"/>
      <c r="BA88" s="16"/>
      <c r="BB88" s="16"/>
      <c r="BC88" s="16"/>
      <c r="BD88" s="16"/>
      <c r="BE88" s="16"/>
      <c r="BF88" s="16"/>
    </row>
    <row r="89" ht="60.0" customHeight="1">
      <c r="A89" s="20" t="s">
        <v>1582</v>
      </c>
      <c r="B89" s="20" t="s">
        <v>1480</v>
      </c>
      <c r="C89" s="20" t="s">
        <v>47</v>
      </c>
      <c r="D89" s="21" t="s">
        <v>213</v>
      </c>
      <c r="E89" s="20" t="s">
        <v>49</v>
      </c>
      <c r="F89" s="20" t="s">
        <v>1583</v>
      </c>
      <c r="G89" s="20" t="s">
        <v>1417</v>
      </c>
      <c r="H89" s="20"/>
      <c r="I89" s="23">
        <f>'17025 SAL'!$H89+$AN$1</f>
        <v>1460</v>
      </c>
      <c r="J89" s="23">
        <v>41338.0</v>
      </c>
      <c r="K89" s="20"/>
      <c r="L89" s="53" t="s">
        <v>1584</v>
      </c>
      <c r="M89" s="32" t="s">
        <v>1585</v>
      </c>
      <c r="N89" s="58" t="s">
        <v>1586</v>
      </c>
      <c r="O89" s="20" t="s">
        <v>1587</v>
      </c>
      <c r="P89" s="20" t="s">
        <v>1588</v>
      </c>
      <c r="Q89" s="20" t="s">
        <v>55</v>
      </c>
      <c r="R89" s="20" t="s">
        <v>1488</v>
      </c>
      <c r="S89" s="20" t="s">
        <v>104</v>
      </c>
      <c r="T89" s="20" t="s">
        <v>1489</v>
      </c>
      <c r="U89" s="25" t="str">
        <f>HYPERLINK("http://www.holcim.com/","www.holcim.com")</f>
        <v>www.holcim.com</v>
      </c>
      <c r="V89" s="20" t="s">
        <v>1490</v>
      </c>
      <c r="W89" s="62">
        <v>1.22201499127E11</v>
      </c>
      <c r="X89" s="20" t="s">
        <v>529</v>
      </c>
      <c r="Y89" s="20" t="s">
        <v>573</v>
      </c>
      <c r="Z89" s="20" t="s">
        <v>167</v>
      </c>
      <c r="AA89" s="20" t="s">
        <v>1488</v>
      </c>
      <c r="AB89" s="20"/>
      <c r="AC89" s="20" t="s">
        <v>1589</v>
      </c>
      <c r="AD89" s="20" t="s">
        <v>1590</v>
      </c>
      <c r="AE89" s="20" t="s">
        <v>1590</v>
      </c>
      <c r="AF89" s="20" t="s">
        <v>1590</v>
      </c>
      <c r="AG89" s="20" t="s">
        <v>1590</v>
      </c>
      <c r="AH89" s="20" t="s">
        <v>1588</v>
      </c>
      <c r="AI89" s="34" t="s">
        <v>1591</v>
      </c>
      <c r="AJ89" s="20" t="s">
        <v>1497</v>
      </c>
      <c r="AK89" s="20" t="s">
        <v>1592</v>
      </c>
      <c r="AL89" s="20" t="s">
        <v>1593</v>
      </c>
      <c r="AM89" s="29"/>
      <c r="AN89" s="29"/>
      <c r="AO89" s="29"/>
      <c r="AP89" s="29"/>
      <c r="AQ89" s="29"/>
      <c r="AR89" s="29"/>
      <c r="AS89" s="29"/>
      <c r="AT89" s="29"/>
      <c r="AU89" s="29"/>
      <c r="AV89" s="29"/>
      <c r="AW89" s="29"/>
      <c r="AX89" s="29"/>
      <c r="AY89" s="29"/>
      <c r="AZ89" s="29"/>
      <c r="BA89" s="29"/>
      <c r="BB89" s="29"/>
      <c r="BC89" s="29"/>
      <c r="BD89" s="29"/>
      <c r="BE89" s="29"/>
      <c r="BF89" s="29"/>
    </row>
    <row r="90" ht="60.0" customHeight="1">
      <c r="A90" s="20" t="s">
        <v>1594</v>
      </c>
      <c r="B90" s="20"/>
      <c r="C90" s="20" t="s">
        <v>47</v>
      </c>
      <c r="D90" s="21" t="s">
        <v>213</v>
      </c>
      <c r="E90" s="20" t="s">
        <v>49</v>
      </c>
      <c r="F90" s="20" t="s">
        <v>1595</v>
      </c>
      <c r="G90" s="20" t="s">
        <v>1596</v>
      </c>
      <c r="H90" s="20"/>
      <c r="I90" s="23">
        <f>'17025 SAL'!$H90+$AN$1</f>
        <v>1460</v>
      </c>
      <c r="J90" s="23">
        <v>41408.0</v>
      </c>
      <c r="K90" s="20"/>
      <c r="L90" s="20" t="s">
        <v>1597</v>
      </c>
      <c r="M90" s="20" t="s">
        <v>1598</v>
      </c>
      <c r="N90" s="25"/>
      <c r="O90" s="20" t="s">
        <v>1599</v>
      </c>
      <c r="P90" s="20" t="s">
        <v>1600</v>
      </c>
      <c r="Q90" s="20" t="s">
        <v>661</v>
      </c>
      <c r="R90" s="20" t="s">
        <v>1601</v>
      </c>
      <c r="S90" s="20" t="s">
        <v>914</v>
      </c>
      <c r="T90" s="20">
        <v>5.019995104574E12</v>
      </c>
      <c r="U90" s="25" t="str">
        <f>HYPERLINK("http://www.cisahn.com;/","www.cisahn.com; ")</f>
        <v>www.cisahn.com; </v>
      </c>
      <c r="V90" s="20" t="s">
        <v>1602</v>
      </c>
      <c r="W90" s="20" t="s">
        <v>1603</v>
      </c>
      <c r="X90" s="20" t="s">
        <v>62</v>
      </c>
      <c r="Y90" s="20" t="s">
        <v>1604</v>
      </c>
      <c r="Z90" s="20" t="s">
        <v>1605</v>
      </c>
      <c r="AA90" s="20" t="s">
        <v>1606</v>
      </c>
      <c r="AB90" s="20"/>
      <c r="AC90" s="20" t="s">
        <v>1607</v>
      </c>
      <c r="AD90" s="20" t="s">
        <v>1608</v>
      </c>
      <c r="AE90" s="20" t="s">
        <v>1609</v>
      </c>
      <c r="AF90" s="20" t="s">
        <v>1610</v>
      </c>
      <c r="AG90" s="20" t="s">
        <v>1606</v>
      </c>
      <c r="AH90" s="20" t="s">
        <v>1611</v>
      </c>
      <c r="AI90" s="25" t="str">
        <f>HYPERLINK("mailto:rcalix@cisahn.com;","rcalix@cisahn.com;")</f>
        <v>rcalix@cisahn.com;</v>
      </c>
      <c r="AJ90" s="20" t="s">
        <v>1612</v>
      </c>
      <c r="AK90" s="20" t="s">
        <v>1594</v>
      </c>
      <c r="AL90" s="20" t="s">
        <v>1613</v>
      </c>
      <c r="AM90" s="16"/>
      <c r="AN90" s="16"/>
      <c r="AO90" s="16"/>
      <c r="AP90" s="16"/>
      <c r="AQ90" s="16"/>
      <c r="AR90" s="16"/>
      <c r="AS90" s="16"/>
      <c r="AT90" s="16"/>
      <c r="AU90" s="16"/>
      <c r="AV90" s="16"/>
      <c r="AW90" s="16"/>
      <c r="AX90" s="16"/>
      <c r="AY90" s="16"/>
      <c r="AZ90" s="16"/>
      <c r="BA90" s="16"/>
      <c r="BB90" s="16"/>
      <c r="BC90" s="16"/>
      <c r="BD90" s="16"/>
      <c r="BE90" s="16"/>
      <c r="BF90" s="16"/>
    </row>
    <row r="91" ht="60.0" customHeight="1">
      <c r="A91" s="20" t="s">
        <v>1614</v>
      </c>
      <c r="B91" s="20" t="s">
        <v>134</v>
      </c>
      <c r="C91" s="20" t="s">
        <v>47</v>
      </c>
      <c r="D91" s="21" t="s">
        <v>48</v>
      </c>
      <c r="E91" s="20" t="s">
        <v>96</v>
      </c>
      <c r="F91" s="20" t="s">
        <v>1615</v>
      </c>
      <c r="G91" s="20" t="s">
        <v>1616</v>
      </c>
      <c r="H91" s="23">
        <v>45147.0</v>
      </c>
      <c r="I91" s="23">
        <f>'17025 SAL'!$H91+$AN$1</f>
        <v>46607</v>
      </c>
      <c r="J91" s="23">
        <v>41387.0</v>
      </c>
      <c r="K91" s="20"/>
      <c r="L91" s="20" t="s">
        <v>1617</v>
      </c>
      <c r="M91" s="24" t="s">
        <v>1618</v>
      </c>
      <c r="N91" s="24" t="s">
        <v>1619</v>
      </c>
      <c r="O91" s="20" t="s">
        <v>1620</v>
      </c>
      <c r="P91" s="20" t="s">
        <v>1621</v>
      </c>
      <c r="Q91" s="20" t="s">
        <v>55</v>
      </c>
      <c r="R91" s="20" t="s">
        <v>1622</v>
      </c>
      <c r="S91" s="20" t="s">
        <v>57</v>
      </c>
      <c r="T91" s="20" t="s">
        <v>221</v>
      </c>
      <c r="U91" s="25" t="str">
        <f>HYPERLINK("http://www.ucr.ac.cr/","www.ucr.ac.cr")</f>
        <v>www.ucr.ac.cr</v>
      </c>
      <c r="V91" s="20" t="s">
        <v>144</v>
      </c>
      <c r="W91" s="20" t="s">
        <v>145</v>
      </c>
      <c r="X91" s="20" t="s">
        <v>62</v>
      </c>
      <c r="Y91" s="26" t="s">
        <v>63</v>
      </c>
      <c r="Z91" s="20" t="s">
        <v>428</v>
      </c>
      <c r="AA91" s="20" t="s">
        <v>147</v>
      </c>
      <c r="AB91" s="20"/>
      <c r="AC91" s="20" t="s">
        <v>148</v>
      </c>
      <c r="AD91" s="20" t="s">
        <v>477</v>
      </c>
      <c r="AE91" s="20" t="s">
        <v>477</v>
      </c>
      <c r="AF91" s="20" t="s">
        <v>1623</v>
      </c>
      <c r="AG91" s="20" t="s">
        <v>1624</v>
      </c>
      <c r="AH91" s="20" t="s">
        <v>1625</v>
      </c>
      <c r="AI91" s="25" t="s">
        <v>1626</v>
      </c>
      <c r="AJ91" s="20" t="s">
        <v>1627</v>
      </c>
      <c r="AK91" s="20" t="s">
        <v>1628</v>
      </c>
      <c r="AL91" s="20"/>
      <c r="AM91" s="16"/>
      <c r="AN91" s="16"/>
      <c r="AO91" s="16"/>
      <c r="AP91" s="16"/>
      <c r="AQ91" s="16"/>
      <c r="AR91" s="16"/>
      <c r="AS91" s="16"/>
      <c r="AT91" s="16"/>
      <c r="AU91" s="16"/>
      <c r="AV91" s="16"/>
      <c r="AW91" s="16"/>
      <c r="AX91" s="16"/>
      <c r="AY91" s="16"/>
      <c r="AZ91" s="16"/>
      <c r="BA91" s="16"/>
      <c r="BB91" s="16"/>
      <c r="BC91" s="16"/>
      <c r="BD91" s="16"/>
      <c r="BE91" s="16"/>
      <c r="BF91" s="16"/>
    </row>
    <row r="92" ht="60.0" customHeight="1">
      <c r="A92" s="20" t="s">
        <v>1629</v>
      </c>
      <c r="B92" s="20" t="s">
        <v>355</v>
      </c>
      <c r="C92" s="20" t="s">
        <v>47</v>
      </c>
      <c r="D92" s="21" t="s">
        <v>213</v>
      </c>
      <c r="E92" s="20" t="s">
        <v>157</v>
      </c>
      <c r="F92" s="20" t="s">
        <v>1630</v>
      </c>
      <c r="G92" s="20" t="s">
        <v>1631</v>
      </c>
      <c r="H92" s="20"/>
      <c r="I92" s="23">
        <f>'17025 SAL'!$H92+$AN$1</f>
        <v>1460</v>
      </c>
      <c r="J92" s="23">
        <v>41478.0</v>
      </c>
      <c r="K92" s="20"/>
      <c r="L92" s="20" t="s">
        <v>1541</v>
      </c>
      <c r="M92" s="20" t="s">
        <v>501</v>
      </c>
      <c r="N92" s="72"/>
      <c r="O92" s="20" t="s">
        <v>1632</v>
      </c>
      <c r="P92" s="20" t="s">
        <v>1633</v>
      </c>
      <c r="Q92" s="20" t="s">
        <v>55</v>
      </c>
      <c r="R92" s="20" t="s">
        <v>1634</v>
      </c>
      <c r="S92" s="20" t="s">
        <v>57</v>
      </c>
      <c r="T92" s="20" t="s">
        <v>1635</v>
      </c>
      <c r="U92" s="25" t="str">
        <f>HYPERLINK("http://www.grupoice.com;/","www.grupoice.com;")</f>
        <v>www.grupoice.com;</v>
      </c>
      <c r="V92" s="20" t="s">
        <v>1636</v>
      </c>
      <c r="W92" s="20" t="s">
        <v>1637</v>
      </c>
      <c r="X92" s="20" t="s">
        <v>346</v>
      </c>
      <c r="Y92" s="20" t="s">
        <v>85</v>
      </c>
      <c r="Z92" s="20" t="s">
        <v>1638</v>
      </c>
      <c r="AA92" s="20" t="s">
        <v>1639</v>
      </c>
      <c r="AB92" s="20"/>
      <c r="AC92" s="20" t="s">
        <v>1640</v>
      </c>
      <c r="AD92" s="20" t="s">
        <v>1641</v>
      </c>
      <c r="AE92" s="20" t="s">
        <v>1642</v>
      </c>
      <c r="AF92" s="20" t="s">
        <v>1643</v>
      </c>
      <c r="AG92" s="20" t="s">
        <v>1634</v>
      </c>
      <c r="AH92" s="20" t="s">
        <v>1644</v>
      </c>
      <c r="AI92" s="25" t="str">
        <f>HYPERLINK("mailto:LcalderonS@ice.go.cr","LcalderonS@ice.go.cr")</f>
        <v>LcalderonS@ice.go.cr</v>
      </c>
      <c r="AJ92" s="20" t="s">
        <v>1645</v>
      </c>
      <c r="AK92" s="20" t="s">
        <v>518</v>
      </c>
      <c r="AL92" s="20" t="s">
        <v>140</v>
      </c>
      <c r="AM92" s="16"/>
      <c r="AN92" s="16"/>
      <c r="AO92" s="16"/>
      <c r="AP92" s="16"/>
      <c r="AQ92" s="16"/>
      <c r="AR92" s="16"/>
      <c r="AS92" s="16"/>
      <c r="AT92" s="16"/>
      <c r="AU92" s="16"/>
      <c r="AV92" s="16"/>
      <c r="AW92" s="16"/>
      <c r="AX92" s="16"/>
      <c r="AY92" s="16"/>
      <c r="AZ92" s="16"/>
      <c r="BA92" s="16"/>
      <c r="BB92" s="16"/>
      <c r="BC92" s="16"/>
      <c r="BD92" s="16"/>
      <c r="BE92" s="16"/>
      <c r="BF92" s="16"/>
    </row>
    <row r="93" ht="60.0" customHeight="1">
      <c r="A93" s="20" t="s">
        <v>1646</v>
      </c>
      <c r="B93" s="20"/>
      <c r="C93" s="20" t="s">
        <v>47</v>
      </c>
      <c r="D93" s="21" t="s">
        <v>213</v>
      </c>
      <c r="E93" s="20" t="s">
        <v>49</v>
      </c>
      <c r="F93" s="20" t="s">
        <v>1647</v>
      </c>
      <c r="G93" s="20" t="s">
        <v>1481</v>
      </c>
      <c r="H93" s="20"/>
      <c r="I93" s="23">
        <f>'17025 SAL'!$H93+$AN$1</f>
        <v>1460</v>
      </c>
      <c r="J93" s="23">
        <v>41604.0</v>
      </c>
      <c r="K93" s="20"/>
      <c r="L93" s="20" t="s">
        <v>1648</v>
      </c>
      <c r="M93" s="25" t="str">
        <f>HYPERLINK("mailto:vanessa.lopez@fifco.com","vanessa.lopez@fifco.com")</f>
        <v>vanessa.lopez@fifco.com</v>
      </c>
      <c r="N93" s="25"/>
      <c r="O93" s="20" t="s">
        <v>1649</v>
      </c>
      <c r="P93" s="20" t="s">
        <v>1650</v>
      </c>
      <c r="Q93" s="20" t="s">
        <v>55</v>
      </c>
      <c r="R93" s="20" t="s">
        <v>1651</v>
      </c>
      <c r="S93" s="20" t="s">
        <v>121</v>
      </c>
      <c r="T93" s="20" t="s">
        <v>998</v>
      </c>
      <c r="U93" s="73" t="str">
        <f t="shared" ref="U93:U94" si="4">HYPERLINK("http://www.florida.co.cr/;","http://www.florida.co.cr/;")</f>
        <v>http://www.florida.co.cr/;</v>
      </c>
      <c r="V93" s="20" t="s">
        <v>1652</v>
      </c>
      <c r="W93" s="20" t="s">
        <v>1000</v>
      </c>
      <c r="X93" s="20" t="s">
        <v>62</v>
      </c>
      <c r="Y93" s="20" t="s">
        <v>63</v>
      </c>
      <c r="Z93" s="20" t="s">
        <v>459</v>
      </c>
      <c r="AA93" s="20" t="s">
        <v>1653</v>
      </c>
      <c r="AB93" s="20"/>
      <c r="AC93" s="20" t="s">
        <v>1654</v>
      </c>
      <c r="AD93" s="20" t="s">
        <v>1655</v>
      </c>
      <c r="AE93" s="20" t="s">
        <v>1656</v>
      </c>
      <c r="AF93" s="20" t="s">
        <v>1657</v>
      </c>
      <c r="AG93" s="20" t="s">
        <v>1653</v>
      </c>
      <c r="AH93" s="20" t="s">
        <v>1650</v>
      </c>
      <c r="AI93" s="73" t="str">
        <f t="shared" ref="AI93:AI94" si="5">HYPERLINK("mailto:rebeca.acuna@fifco.com","rebeca.acuna@fifco.com")</f>
        <v>rebeca.acuna@fifco.com</v>
      </c>
      <c r="AJ93" s="20" t="s">
        <v>1658</v>
      </c>
      <c r="AK93" s="20" t="s">
        <v>1659</v>
      </c>
      <c r="AL93" s="20" t="s">
        <v>1660</v>
      </c>
      <c r="AM93" s="16"/>
      <c r="AN93" s="16"/>
      <c r="AO93" s="16"/>
      <c r="AP93" s="16"/>
      <c r="AQ93" s="16"/>
      <c r="AR93" s="16"/>
      <c r="AS93" s="16"/>
      <c r="AT93" s="16"/>
      <c r="AU93" s="16"/>
      <c r="AV93" s="16"/>
      <c r="AW93" s="16"/>
      <c r="AX93" s="16"/>
      <c r="AY93" s="16"/>
      <c r="AZ93" s="16"/>
      <c r="BA93" s="16"/>
      <c r="BB93" s="16"/>
      <c r="BC93" s="16"/>
      <c r="BD93" s="16"/>
      <c r="BE93" s="16"/>
      <c r="BF93" s="16"/>
    </row>
    <row r="94" ht="60.0" customHeight="1">
      <c r="A94" s="20" t="s">
        <v>1661</v>
      </c>
      <c r="B94" s="20"/>
      <c r="C94" s="20" t="s">
        <v>231</v>
      </c>
      <c r="D94" s="21" t="s">
        <v>213</v>
      </c>
      <c r="E94" s="20" t="s">
        <v>49</v>
      </c>
      <c r="F94" s="20" t="s">
        <v>1662</v>
      </c>
      <c r="G94" s="20" t="s">
        <v>1663</v>
      </c>
      <c r="H94" s="20"/>
      <c r="I94" s="23">
        <f>'17025 SAL'!$H94+$AN$1</f>
        <v>1460</v>
      </c>
      <c r="J94" s="23">
        <v>41604.0</v>
      </c>
      <c r="K94" s="20"/>
      <c r="L94" s="20" t="s">
        <v>1664</v>
      </c>
      <c r="M94" s="25" t="str">
        <f>HYPERLINK("mailto:roberto.cubero@fifco.com","roberto.cubero@fifco.com")</f>
        <v>roberto.cubero@fifco.com</v>
      </c>
      <c r="N94" s="25"/>
      <c r="O94" s="20" t="s">
        <v>1665</v>
      </c>
      <c r="P94" s="20" t="s">
        <v>1650</v>
      </c>
      <c r="Q94" s="20" t="s">
        <v>55</v>
      </c>
      <c r="R94" s="20" t="s">
        <v>1651</v>
      </c>
      <c r="S94" s="20" t="s">
        <v>121</v>
      </c>
      <c r="T94" s="20" t="s">
        <v>998</v>
      </c>
      <c r="U94" s="73" t="str">
        <f t="shared" si="4"/>
        <v>http://www.florida.co.cr/;</v>
      </c>
      <c r="V94" s="20" t="s">
        <v>1652</v>
      </c>
      <c r="W94" s="20" t="s">
        <v>1000</v>
      </c>
      <c r="X94" s="20" t="s">
        <v>62</v>
      </c>
      <c r="Y94" s="20" t="s">
        <v>63</v>
      </c>
      <c r="Z94" s="20" t="s">
        <v>459</v>
      </c>
      <c r="AA94" s="20" t="s">
        <v>1653</v>
      </c>
      <c r="AB94" s="20"/>
      <c r="AC94" s="20" t="s">
        <v>1654</v>
      </c>
      <c r="AD94" s="20" t="s">
        <v>1655</v>
      </c>
      <c r="AE94" s="20" t="s">
        <v>1656</v>
      </c>
      <c r="AF94" s="20" t="s">
        <v>1657</v>
      </c>
      <c r="AG94" s="20" t="s">
        <v>1653</v>
      </c>
      <c r="AH94" s="20" t="s">
        <v>1650</v>
      </c>
      <c r="AI94" s="73" t="str">
        <f t="shared" si="5"/>
        <v>rebeca.acuna@fifco.com</v>
      </c>
      <c r="AJ94" s="20" t="s">
        <v>1658</v>
      </c>
      <c r="AK94" s="20" t="s">
        <v>1666</v>
      </c>
      <c r="AL94" s="20" t="s">
        <v>1660</v>
      </c>
      <c r="AM94" s="29"/>
      <c r="AN94" s="29"/>
      <c r="AO94" s="29"/>
      <c r="AP94" s="29"/>
      <c r="AQ94" s="29"/>
      <c r="AR94" s="29"/>
      <c r="AS94" s="29"/>
      <c r="AT94" s="29"/>
      <c r="AU94" s="29"/>
      <c r="AV94" s="29"/>
      <c r="AW94" s="29"/>
      <c r="AX94" s="29"/>
      <c r="AY94" s="29"/>
      <c r="AZ94" s="29"/>
      <c r="BA94" s="29"/>
      <c r="BB94" s="29"/>
      <c r="BC94" s="29"/>
      <c r="BD94" s="29"/>
      <c r="BE94" s="29"/>
      <c r="BF94" s="29"/>
    </row>
    <row r="95" ht="60.0" customHeight="1">
      <c r="A95" s="20" t="s">
        <v>1667</v>
      </c>
      <c r="B95" s="20"/>
      <c r="C95" s="20" t="s">
        <v>47</v>
      </c>
      <c r="D95" s="21" t="s">
        <v>48</v>
      </c>
      <c r="E95" s="20" t="s">
        <v>49</v>
      </c>
      <c r="F95" s="20" t="s">
        <v>1668</v>
      </c>
      <c r="G95" s="20" t="s">
        <v>1669</v>
      </c>
      <c r="H95" s="23">
        <v>45462.0</v>
      </c>
      <c r="I95" s="23">
        <f>'17025 SAL'!$H95+$AN$1</f>
        <v>46922</v>
      </c>
      <c r="J95" s="23">
        <v>41506.0</v>
      </c>
      <c r="K95" s="20" t="s">
        <v>1670</v>
      </c>
      <c r="L95" s="20" t="s">
        <v>1671</v>
      </c>
      <c r="M95" s="24" t="s">
        <v>1672</v>
      </c>
      <c r="N95" s="24" t="s">
        <v>1673</v>
      </c>
      <c r="O95" s="20" t="s">
        <v>1674</v>
      </c>
      <c r="P95" s="20" t="s">
        <v>1674</v>
      </c>
      <c r="Q95" s="20" t="s">
        <v>55</v>
      </c>
      <c r="R95" s="20" t="s">
        <v>1675</v>
      </c>
      <c r="S95" s="20" t="s">
        <v>57</v>
      </c>
      <c r="T95" s="20" t="s">
        <v>1676</v>
      </c>
      <c r="U95" s="20" t="s">
        <v>324</v>
      </c>
      <c r="V95" s="20" t="s">
        <v>1671</v>
      </c>
      <c r="W95" s="20">
        <v>1.17000110916E11</v>
      </c>
      <c r="X95" s="20" t="s">
        <v>84</v>
      </c>
      <c r="Y95" s="20" t="s">
        <v>1677</v>
      </c>
      <c r="Z95" s="20" t="s">
        <v>1678</v>
      </c>
      <c r="AA95" s="20" t="s">
        <v>1679</v>
      </c>
      <c r="AB95" s="20"/>
      <c r="AC95" s="20" t="s">
        <v>67</v>
      </c>
      <c r="AD95" s="20" t="s">
        <v>1680</v>
      </c>
      <c r="AE95" s="20" t="s">
        <v>1681</v>
      </c>
      <c r="AF95" s="20">
        <v>2.7726463E7</v>
      </c>
      <c r="AG95" s="20" t="s">
        <v>1679</v>
      </c>
      <c r="AH95" s="20">
        <v>2.7726463E7</v>
      </c>
      <c r="AI95" s="34" t="s">
        <v>1682</v>
      </c>
      <c r="AJ95" s="20" t="s">
        <v>1683</v>
      </c>
      <c r="AK95" s="20" t="s">
        <v>1684</v>
      </c>
      <c r="AL95" s="20" t="s">
        <v>1685</v>
      </c>
      <c r="AM95" s="74"/>
      <c r="AN95" s="74"/>
      <c r="AO95" s="74"/>
      <c r="AP95" s="74"/>
      <c r="AQ95" s="74"/>
      <c r="AR95" s="74"/>
      <c r="AS95" s="74"/>
      <c r="AT95" s="74"/>
      <c r="AU95" s="74"/>
      <c r="AV95" s="74"/>
      <c r="AW95" s="74"/>
      <c r="AX95" s="74"/>
      <c r="AY95" s="74"/>
      <c r="AZ95" s="74"/>
      <c r="BA95" s="74"/>
      <c r="BB95" s="74"/>
      <c r="BC95" s="74"/>
      <c r="BD95" s="74"/>
      <c r="BE95" s="74"/>
      <c r="BF95" s="74"/>
    </row>
    <row r="96" ht="60.0" customHeight="1">
      <c r="A96" s="20" t="s">
        <v>1686</v>
      </c>
      <c r="B96" s="20"/>
      <c r="C96" s="20" t="s">
        <v>47</v>
      </c>
      <c r="D96" s="21" t="s">
        <v>213</v>
      </c>
      <c r="E96" s="20" t="s">
        <v>157</v>
      </c>
      <c r="F96" s="20" t="s">
        <v>1687</v>
      </c>
      <c r="G96" s="20" t="s">
        <v>1523</v>
      </c>
      <c r="H96" s="23"/>
      <c r="I96" s="23">
        <f>'17025 SAL'!$H96+$AN$1</f>
        <v>1460</v>
      </c>
      <c r="J96" s="23">
        <v>41618.0</v>
      </c>
      <c r="K96" s="20"/>
      <c r="L96" s="20" t="s">
        <v>1688</v>
      </c>
      <c r="M96" s="63" t="s">
        <v>1689</v>
      </c>
      <c r="N96" s="58" t="s">
        <v>1690</v>
      </c>
      <c r="O96" s="20" t="s">
        <v>1691</v>
      </c>
      <c r="P96" s="20"/>
      <c r="Q96" s="20" t="s">
        <v>55</v>
      </c>
      <c r="R96" s="20" t="s">
        <v>1692</v>
      </c>
      <c r="S96" s="20" t="s">
        <v>121</v>
      </c>
      <c r="T96" s="20" t="s">
        <v>1693</v>
      </c>
      <c r="U96" s="52" t="str">
        <f>HYPERLINK("http://web.cnp.go.cr;/","http://web.cnp.go.cr;")</f>
        <v>http://web.cnp.go.cr;</v>
      </c>
      <c r="V96" s="20" t="s">
        <v>1694</v>
      </c>
      <c r="W96" s="20">
        <v>9.00650431E8</v>
      </c>
      <c r="X96" s="20"/>
      <c r="Y96" s="20"/>
      <c r="Z96" s="20"/>
      <c r="AA96" s="20"/>
      <c r="AB96" s="20"/>
      <c r="AC96" s="20" t="s">
        <v>67</v>
      </c>
      <c r="AD96" s="20" t="s">
        <v>1695</v>
      </c>
      <c r="AE96" s="20" t="s">
        <v>1696</v>
      </c>
      <c r="AF96" s="20" t="s">
        <v>1697</v>
      </c>
      <c r="AG96" s="20" t="s">
        <v>1698</v>
      </c>
      <c r="AH96" s="20" t="s">
        <v>1699</v>
      </c>
      <c r="AI96" s="20" t="s">
        <v>1700</v>
      </c>
      <c r="AJ96" s="20" t="s">
        <v>1701</v>
      </c>
      <c r="AK96" s="20" t="s">
        <v>1702</v>
      </c>
      <c r="AL96" s="20"/>
      <c r="AM96" s="29"/>
      <c r="AN96" s="29"/>
      <c r="AO96" s="29"/>
      <c r="AP96" s="29"/>
      <c r="AQ96" s="29"/>
      <c r="AR96" s="29"/>
      <c r="AS96" s="29"/>
      <c r="AT96" s="29"/>
      <c r="AU96" s="29"/>
      <c r="AV96" s="29"/>
      <c r="AW96" s="29"/>
      <c r="AX96" s="29"/>
      <c r="AY96" s="29"/>
      <c r="AZ96" s="29"/>
      <c r="BA96" s="29"/>
      <c r="BB96" s="29"/>
      <c r="BC96" s="29"/>
      <c r="BD96" s="29"/>
      <c r="BE96" s="29"/>
      <c r="BF96" s="29"/>
    </row>
    <row r="97" ht="60.0" customHeight="1">
      <c r="A97" s="26" t="s">
        <v>1703</v>
      </c>
      <c r="B97" s="26" t="s">
        <v>1704</v>
      </c>
      <c r="C97" s="26" t="s">
        <v>231</v>
      </c>
      <c r="D97" s="21" t="s">
        <v>48</v>
      </c>
      <c r="E97" s="26" t="s">
        <v>49</v>
      </c>
      <c r="F97" s="26" t="s">
        <v>1705</v>
      </c>
      <c r="G97" s="26" t="s">
        <v>1706</v>
      </c>
      <c r="H97" s="22">
        <v>45545.0</v>
      </c>
      <c r="I97" s="22">
        <v>47006.0</v>
      </c>
      <c r="J97" s="22">
        <v>41737.0</v>
      </c>
      <c r="K97" s="26" t="s">
        <v>1707</v>
      </c>
      <c r="L97" s="26" t="s">
        <v>1708</v>
      </c>
      <c r="M97" s="26" t="s">
        <v>1709</v>
      </c>
      <c r="N97" s="26" t="s">
        <v>1710</v>
      </c>
      <c r="O97" s="26" t="s">
        <v>1711</v>
      </c>
      <c r="P97" s="26" t="s">
        <v>324</v>
      </c>
      <c r="Q97" s="26" t="s">
        <v>1135</v>
      </c>
      <c r="R97" s="26" t="s">
        <v>1712</v>
      </c>
      <c r="S97" s="26" t="s">
        <v>1137</v>
      </c>
      <c r="T97" s="26" t="s">
        <v>1713</v>
      </c>
      <c r="U97" s="56" t="s">
        <v>1714</v>
      </c>
      <c r="V97" s="26" t="s">
        <v>1715</v>
      </c>
      <c r="W97" s="26" t="s">
        <v>1716</v>
      </c>
      <c r="X97" s="26" t="s">
        <v>62</v>
      </c>
      <c r="Y97" s="26" t="s">
        <v>1471</v>
      </c>
      <c r="Z97" s="26" t="s">
        <v>793</v>
      </c>
      <c r="AA97" s="26" t="s">
        <v>1717</v>
      </c>
      <c r="AB97" s="26" t="s">
        <v>1718</v>
      </c>
      <c r="AC97" s="26" t="s">
        <v>1719</v>
      </c>
      <c r="AD97" s="26" t="s">
        <v>1720</v>
      </c>
      <c r="AE97" s="26" t="s">
        <v>1703</v>
      </c>
      <c r="AF97" s="26" t="s">
        <v>1721</v>
      </c>
      <c r="AG97" s="26" t="s">
        <v>1722</v>
      </c>
      <c r="AH97" s="26" t="s">
        <v>324</v>
      </c>
      <c r="AI97" s="56" t="s">
        <v>1723</v>
      </c>
      <c r="AJ97" s="26" t="s">
        <v>1724</v>
      </c>
      <c r="AK97" s="26" t="s">
        <v>1703</v>
      </c>
      <c r="AL97" s="26"/>
      <c r="AM97" s="29"/>
      <c r="AN97" s="29"/>
      <c r="AO97" s="29"/>
      <c r="AP97" s="29"/>
      <c r="AQ97" s="29"/>
      <c r="AR97" s="29"/>
      <c r="AS97" s="29"/>
      <c r="AT97" s="29"/>
      <c r="AU97" s="29"/>
      <c r="AV97" s="29"/>
      <c r="AW97" s="29"/>
      <c r="AX97" s="29"/>
      <c r="AY97" s="29"/>
      <c r="AZ97" s="29"/>
      <c r="BA97" s="29"/>
      <c r="BB97" s="29"/>
      <c r="BC97" s="29"/>
      <c r="BD97" s="29"/>
      <c r="BE97" s="29"/>
      <c r="BF97" s="29"/>
    </row>
    <row r="98" ht="60.0" customHeight="1">
      <c r="A98" s="26" t="s">
        <v>1725</v>
      </c>
      <c r="B98" s="26"/>
      <c r="C98" s="26" t="s">
        <v>47</v>
      </c>
      <c r="D98" s="21" t="s">
        <v>213</v>
      </c>
      <c r="E98" s="26" t="s">
        <v>49</v>
      </c>
      <c r="F98" s="26" t="s">
        <v>1726</v>
      </c>
      <c r="G98" s="26" t="s">
        <v>1460</v>
      </c>
      <c r="H98" s="22"/>
      <c r="I98" s="22">
        <f>'17025 SAL'!$H98+$AN$1</f>
        <v>1460</v>
      </c>
      <c r="J98" s="22">
        <v>41527.0</v>
      </c>
      <c r="K98" s="26"/>
      <c r="L98" s="26" t="s">
        <v>1727</v>
      </c>
      <c r="M98" s="68" t="str">
        <f>HYPERLINK("mailto:info@waterlab.com","info@waterlab.com")</f>
        <v>info@waterlab.com</v>
      </c>
      <c r="N98" s="71"/>
      <c r="O98" s="26" t="s">
        <v>1728</v>
      </c>
      <c r="P98" s="26" t="s">
        <v>1729</v>
      </c>
      <c r="Q98" s="26" t="s">
        <v>55</v>
      </c>
      <c r="R98" s="26" t="s">
        <v>1730</v>
      </c>
      <c r="S98" s="26" t="s">
        <v>57</v>
      </c>
      <c r="T98" s="46" t="s">
        <v>1731</v>
      </c>
      <c r="U98" s="56" t="str">
        <f>HYPERLINK("http://www.juturnawater.com/","www.juturnawater.com ")</f>
        <v>www.juturnawater.com </v>
      </c>
      <c r="V98" s="26" t="s">
        <v>1727</v>
      </c>
      <c r="W98" s="26">
        <v>4.6415513E7</v>
      </c>
      <c r="X98" s="26" t="s">
        <v>529</v>
      </c>
      <c r="Y98" s="26" t="s">
        <v>1164</v>
      </c>
      <c r="Z98" s="26" t="s">
        <v>459</v>
      </c>
      <c r="AA98" s="26" t="s">
        <v>1732</v>
      </c>
      <c r="AB98" s="26"/>
      <c r="AC98" s="26" t="s">
        <v>1733</v>
      </c>
      <c r="AD98" s="26" t="s">
        <v>1734</v>
      </c>
      <c r="AE98" s="26" t="s">
        <v>1725</v>
      </c>
      <c r="AF98" s="26">
        <v>2.282078E7</v>
      </c>
      <c r="AG98" s="26" t="s">
        <v>1732</v>
      </c>
      <c r="AH98" s="26" t="s">
        <v>1729</v>
      </c>
      <c r="AI98" s="56" t="str">
        <f>HYPERLINK("mailto:emartinez@waterlab.com","emartinez@waterlab.com")</f>
        <v>emartinez@waterlab.com</v>
      </c>
      <c r="AJ98" s="26" t="s">
        <v>1735</v>
      </c>
      <c r="AK98" s="26" t="s">
        <v>1725</v>
      </c>
      <c r="AL98" s="26" t="s">
        <v>1736</v>
      </c>
      <c r="AM98" s="29"/>
      <c r="AN98" s="29"/>
      <c r="AO98" s="29"/>
      <c r="AP98" s="29"/>
      <c r="AQ98" s="29"/>
      <c r="AR98" s="29"/>
      <c r="AS98" s="29"/>
      <c r="AT98" s="29"/>
      <c r="AU98" s="29"/>
      <c r="AV98" s="29"/>
      <c r="AW98" s="29"/>
      <c r="AX98" s="29"/>
      <c r="AY98" s="29"/>
      <c r="AZ98" s="29"/>
      <c r="BA98" s="29"/>
      <c r="BB98" s="29"/>
      <c r="BC98" s="29"/>
      <c r="BD98" s="29"/>
      <c r="BE98" s="29"/>
      <c r="BF98" s="29"/>
    </row>
    <row r="99" ht="60.0" customHeight="1">
      <c r="A99" s="20" t="s">
        <v>1737</v>
      </c>
      <c r="B99" s="20" t="s">
        <v>1738</v>
      </c>
      <c r="C99" s="20" t="s">
        <v>47</v>
      </c>
      <c r="D99" s="21" t="s">
        <v>48</v>
      </c>
      <c r="E99" s="20" t="s">
        <v>49</v>
      </c>
      <c r="F99" s="20" t="s">
        <v>1739</v>
      </c>
      <c r="G99" s="20" t="s">
        <v>1583</v>
      </c>
      <c r="H99" s="23">
        <v>44120.0</v>
      </c>
      <c r="I99" s="23">
        <f>'17025 SAL'!$H99+$AN$1</f>
        <v>45580</v>
      </c>
      <c r="J99" s="23">
        <v>41772.0</v>
      </c>
      <c r="K99" s="20" t="s">
        <v>1740</v>
      </c>
      <c r="L99" s="20" t="s">
        <v>1741</v>
      </c>
      <c r="M99" s="24" t="s">
        <v>1742</v>
      </c>
      <c r="N99" s="37" t="s">
        <v>1743</v>
      </c>
      <c r="O99" s="35" t="s">
        <v>1744</v>
      </c>
      <c r="P99" s="35" t="s">
        <v>76</v>
      </c>
      <c r="Q99" s="20" t="s">
        <v>661</v>
      </c>
      <c r="R99" s="20" t="s">
        <v>1745</v>
      </c>
      <c r="S99" s="20" t="s">
        <v>1746</v>
      </c>
      <c r="T99" s="39" t="s">
        <v>1747</v>
      </c>
      <c r="U99" s="20" t="s">
        <v>1748</v>
      </c>
      <c r="V99" s="20" t="s">
        <v>1749</v>
      </c>
      <c r="W99" s="39">
        <v>8.01197012626E11</v>
      </c>
      <c r="X99" s="20" t="s">
        <v>62</v>
      </c>
      <c r="Y99" s="20" t="s">
        <v>918</v>
      </c>
      <c r="Z99" s="20" t="s">
        <v>793</v>
      </c>
      <c r="AA99" s="35" t="s">
        <v>1750</v>
      </c>
      <c r="AB99" s="36" t="s">
        <v>1751</v>
      </c>
      <c r="AC99" s="35" t="s">
        <v>67</v>
      </c>
      <c r="AD99" s="35" t="s">
        <v>1752</v>
      </c>
      <c r="AE99" s="20" t="s">
        <v>1753</v>
      </c>
      <c r="AF99" s="20" t="s">
        <v>1754</v>
      </c>
      <c r="AG99" s="20" t="s">
        <v>1755</v>
      </c>
      <c r="AH99" s="20" t="s">
        <v>140</v>
      </c>
      <c r="AI99" s="38" t="s">
        <v>1756</v>
      </c>
      <c r="AJ99" s="20" t="s">
        <v>1091</v>
      </c>
      <c r="AK99" s="20" t="s">
        <v>1757</v>
      </c>
      <c r="AL99" s="20"/>
      <c r="AM99" s="16"/>
      <c r="AN99" s="16"/>
      <c r="AO99" s="16"/>
      <c r="AP99" s="16"/>
      <c r="AQ99" s="16"/>
      <c r="AR99" s="16"/>
      <c r="AS99" s="16"/>
      <c r="AT99" s="16"/>
      <c r="AU99" s="16"/>
      <c r="AV99" s="16"/>
      <c r="AW99" s="16"/>
      <c r="AX99" s="16"/>
      <c r="AY99" s="16"/>
      <c r="AZ99" s="16"/>
      <c r="BA99" s="16"/>
      <c r="BB99" s="16"/>
      <c r="BC99" s="16"/>
      <c r="BD99" s="16"/>
      <c r="BE99" s="16"/>
      <c r="BF99" s="16"/>
    </row>
    <row r="100" ht="60.0" customHeight="1">
      <c r="A100" s="24" t="s">
        <v>1758</v>
      </c>
      <c r="B100" s="24"/>
      <c r="C100" s="24" t="s">
        <v>47</v>
      </c>
      <c r="D100" s="21" t="s">
        <v>213</v>
      </c>
      <c r="E100" s="24" t="s">
        <v>49</v>
      </c>
      <c r="F100" s="24" t="s">
        <v>1759</v>
      </c>
      <c r="G100" s="24" t="s">
        <v>1760</v>
      </c>
      <c r="H100" s="54">
        <v>44040.0</v>
      </c>
      <c r="I100" s="23">
        <f>'17025 SAL'!$H100+$AN$1</f>
        <v>45500</v>
      </c>
      <c r="J100" s="54">
        <v>41618.0</v>
      </c>
      <c r="K100" s="24"/>
      <c r="L100" s="26" t="s">
        <v>1761</v>
      </c>
      <c r="M100" s="24" t="s">
        <v>1762</v>
      </c>
      <c r="N100" s="24" t="s">
        <v>1763</v>
      </c>
      <c r="O100" s="26" t="s">
        <v>1764</v>
      </c>
      <c r="P100" s="24"/>
      <c r="Q100" s="24" t="s">
        <v>55</v>
      </c>
      <c r="R100" s="26" t="s">
        <v>1765</v>
      </c>
      <c r="S100" s="24" t="s">
        <v>979</v>
      </c>
      <c r="T100" s="24" t="s">
        <v>1766</v>
      </c>
      <c r="U100" s="55" t="str">
        <f>HYPERLINK("http://www.tecnocontrolcr.net;/","www.tecnocontrolcr.net;")</f>
        <v>www.tecnocontrolcr.net;</v>
      </c>
      <c r="V100" s="24" t="s">
        <v>1767</v>
      </c>
      <c r="W100" s="24" t="s">
        <v>1768</v>
      </c>
      <c r="X100" s="24" t="s">
        <v>62</v>
      </c>
      <c r="Y100" s="24" t="s">
        <v>63</v>
      </c>
      <c r="Z100" s="24" t="s">
        <v>411</v>
      </c>
      <c r="AA100" s="26" t="s">
        <v>1765</v>
      </c>
      <c r="AB100" s="24"/>
      <c r="AC100" s="24" t="s">
        <v>1769</v>
      </c>
      <c r="AD100" s="24" t="s">
        <v>1770</v>
      </c>
      <c r="AE100" s="24" t="s">
        <v>1771</v>
      </c>
      <c r="AF100" s="24" t="s">
        <v>1772</v>
      </c>
      <c r="AG100" s="24" t="s">
        <v>1773</v>
      </c>
      <c r="AH100" s="24" t="s">
        <v>1774</v>
      </c>
      <c r="AI100" s="55" t="str">
        <f>HYPERLINK("mailto:info@tecnocontrolcr.net","info@tecnocontrolcr.net")</f>
        <v>info@tecnocontrolcr.net</v>
      </c>
      <c r="AJ100" s="24" t="s">
        <v>1775</v>
      </c>
      <c r="AK100" s="26" t="s">
        <v>1758</v>
      </c>
      <c r="AL100" s="26" t="s">
        <v>1776</v>
      </c>
      <c r="AM100" s="29"/>
      <c r="AN100" s="29"/>
      <c r="AO100" s="29"/>
      <c r="AP100" s="29"/>
      <c r="AQ100" s="29"/>
      <c r="AR100" s="29"/>
      <c r="AS100" s="29"/>
      <c r="AT100" s="29"/>
      <c r="AU100" s="29"/>
      <c r="AV100" s="29"/>
      <c r="AW100" s="29"/>
      <c r="AX100" s="29"/>
      <c r="AY100" s="29"/>
      <c r="AZ100" s="29"/>
      <c r="BA100" s="29"/>
      <c r="BB100" s="29"/>
      <c r="BC100" s="29"/>
      <c r="BD100" s="29"/>
      <c r="BE100" s="29"/>
      <c r="BF100" s="29"/>
    </row>
    <row r="101" ht="60.0" customHeight="1">
      <c r="A101" s="20" t="s">
        <v>1777</v>
      </c>
      <c r="B101" s="20"/>
      <c r="C101" s="20" t="s">
        <v>47</v>
      </c>
      <c r="D101" s="21" t="s">
        <v>48</v>
      </c>
      <c r="E101" s="20" t="s">
        <v>49</v>
      </c>
      <c r="F101" s="20" t="s">
        <v>1778</v>
      </c>
      <c r="G101" s="20" t="s">
        <v>1539</v>
      </c>
      <c r="H101" s="23">
        <v>45891.0</v>
      </c>
      <c r="I101" s="23" t="s">
        <v>76</v>
      </c>
      <c r="J101" s="23">
        <v>41681.0</v>
      </c>
      <c r="K101" s="20"/>
      <c r="L101" s="20" t="s">
        <v>1779</v>
      </c>
      <c r="M101" s="24" t="s">
        <v>1780</v>
      </c>
      <c r="N101" s="25"/>
      <c r="O101" s="20" t="s">
        <v>1781</v>
      </c>
      <c r="P101" s="20"/>
      <c r="Q101" s="20" t="s">
        <v>55</v>
      </c>
      <c r="R101" s="20" t="s">
        <v>1782</v>
      </c>
      <c r="S101" s="20" t="s">
        <v>57</v>
      </c>
      <c r="T101" s="20" t="s">
        <v>1783</v>
      </c>
      <c r="U101" s="25" t="str">
        <f>HYPERLINK("http://www.labmicrotec.com;/","www.labmicrotec.com;")</f>
        <v>www.labmicrotec.com;</v>
      </c>
      <c r="V101" s="20" t="s">
        <v>1784</v>
      </c>
      <c r="W101" s="20" t="s">
        <v>1785</v>
      </c>
      <c r="X101" s="20" t="s">
        <v>62</v>
      </c>
      <c r="Y101" s="20" t="s">
        <v>63</v>
      </c>
      <c r="Z101" s="20" t="s">
        <v>188</v>
      </c>
      <c r="AA101" s="20" t="s">
        <v>1786</v>
      </c>
      <c r="AB101" s="20"/>
      <c r="AC101" s="20" t="s">
        <v>1787</v>
      </c>
      <c r="AD101" s="20" t="s">
        <v>1788</v>
      </c>
      <c r="AE101" s="24" t="s">
        <v>1789</v>
      </c>
      <c r="AF101" s="20" t="s">
        <v>1781</v>
      </c>
      <c r="AG101" s="20" t="s">
        <v>1786</v>
      </c>
      <c r="AH101" s="20" t="s">
        <v>324</v>
      </c>
      <c r="AI101" s="34" t="s">
        <v>1790</v>
      </c>
      <c r="AJ101" s="20" t="s">
        <v>1791</v>
      </c>
      <c r="AK101" s="20" t="s">
        <v>1777</v>
      </c>
      <c r="AL101" s="20" t="s">
        <v>1792</v>
      </c>
      <c r="AM101" s="16"/>
      <c r="AN101" s="16"/>
      <c r="AO101" s="16"/>
      <c r="AP101" s="16"/>
      <c r="AQ101" s="16"/>
      <c r="AR101" s="16"/>
      <c r="AS101" s="16"/>
      <c r="AT101" s="16"/>
      <c r="AU101" s="16"/>
      <c r="AV101" s="16"/>
      <c r="AW101" s="16"/>
      <c r="AX101" s="16"/>
      <c r="AY101" s="16"/>
      <c r="AZ101" s="16"/>
      <c r="BA101" s="16"/>
      <c r="BB101" s="16"/>
      <c r="BC101" s="16"/>
      <c r="BD101" s="16"/>
      <c r="BE101" s="16"/>
      <c r="BF101" s="16"/>
    </row>
    <row r="102" ht="60.0" customHeight="1">
      <c r="A102" s="20" t="s">
        <v>1793</v>
      </c>
      <c r="B102" s="20"/>
      <c r="C102" s="20" t="s">
        <v>47</v>
      </c>
      <c r="D102" s="21" t="s">
        <v>213</v>
      </c>
      <c r="E102" s="20" t="s">
        <v>49</v>
      </c>
      <c r="F102" s="20" t="s">
        <v>1794</v>
      </c>
      <c r="G102" s="20" t="s">
        <v>1795</v>
      </c>
      <c r="H102" s="23">
        <v>43950.0</v>
      </c>
      <c r="I102" s="23">
        <f>'17025 SAL'!$H102+$AN$1</f>
        <v>45410</v>
      </c>
      <c r="J102" s="23">
        <v>41667.0</v>
      </c>
      <c r="K102" s="20"/>
      <c r="L102" s="20" t="s">
        <v>1796</v>
      </c>
      <c r="M102" s="24" t="s">
        <v>1797</v>
      </c>
      <c r="N102" s="24" t="s">
        <v>1798</v>
      </c>
      <c r="O102" s="20" t="s">
        <v>1799</v>
      </c>
      <c r="P102" s="20" t="s">
        <v>1800</v>
      </c>
      <c r="Q102" s="20" t="s">
        <v>55</v>
      </c>
      <c r="R102" s="20" t="s">
        <v>1801</v>
      </c>
      <c r="S102" s="26" t="s">
        <v>979</v>
      </c>
      <c r="T102" s="20" t="s">
        <v>1802</v>
      </c>
      <c r="U102" s="25" t="str">
        <f>HYPERLINK("http://www.mycindustrial.com/","www.mycindustrial.com")</f>
        <v>www.mycindustrial.com</v>
      </c>
      <c r="V102" s="20" t="s">
        <v>1803</v>
      </c>
      <c r="W102" s="20" t="s">
        <v>1804</v>
      </c>
      <c r="X102" s="20" t="s">
        <v>304</v>
      </c>
      <c r="Y102" s="20" t="s">
        <v>63</v>
      </c>
      <c r="Z102" s="20" t="s">
        <v>1805</v>
      </c>
      <c r="AA102" s="20" t="s">
        <v>1801</v>
      </c>
      <c r="AB102" s="20"/>
      <c r="AC102" s="20" t="s">
        <v>1806</v>
      </c>
      <c r="AD102" s="20" t="s">
        <v>1807</v>
      </c>
      <c r="AE102" s="26" t="s">
        <v>1793</v>
      </c>
      <c r="AF102" s="24" t="s">
        <v>1808</v>
      </c>
      <c r="AG102" s="20" t="s">
        <v>1801</v>
      </c>
      <c r="AH102" s="20" t="s">
        <v>1809</v>
      </c>
      <c r="AI102" s="25" t="str">
        <f>HYPERLINK("mailto:lcordero@mycindustrial.com","lcordero@mycindustrial.com")</f>
        <v>lcordero@mycindustrial.com</v>
      </c>
      <c r="AJ102" s="20" t="s">
        <v>1810</v>
      </c>
      <c r="AK102" s="20" t="s">
        <v>1793</v>
      </c>
      <c r="AL102" s="20"/>
      <c r="AM102" s="29"/>
      <c r="AN102" s="29"/>
      <c r="AO102" s="29"/>
      <c r="AP102" s="29"/>
      <c r="AQ102" s="29"/>
      <c r="AR102" s="29"/>
      <c r="AS102" s="29"/>
      <c r="AT102" s="29"/>
      <c r="AU102" s="29"/>
      <c r="AV102" s="29"/>
      <c r="AW102" s="29"/>
      <c r="AX102" s="29"/>
      <c r="AY102" s="29"/>
      <c r="AZ102" s="29"/>
      <c r="BA102" s="29"/>
      <c r="BB102" s="29"/>
      <c r="BC102" s="29"/>
      <c r="BD102" s="29"/>
      <c r="BE102" s="29"/>
      <c r="BF102" s="29"/>
    </row>
    <row r="103" ht="60.0" customHeight="1">
      <c r="A103" s="20" t="s">
        <v>1811</v>
      </c>
      <c r="B103" s="20"/>
      <c r="C103" s="20" t="s">
        <v>231</v>
      </c>
      <c r="D103" s="21" t="s">
        <v>48</v>
      </c>
      <c r="E103" s="20" t="s">
        <v>49</v>
      </c>
      <c r="F103" s="20" t="s">
        <v>1812</v>
      </c>
      <c r="G103" s="20" t="s">
        <v>1813</v>
      </c>
      <c r="H103" s="23">
        <v>44105.0</v>
      </c>
      <c r="I103" s="23">
        <f>'17025 SAL'!$H103+$AN$1</f>
        <v>45565</v>
      </c>
      <c r="J103" s="23">
        <v>41982.0</v>
      </c>
      <c r="K103" s="20" t="s">
        <v>1814</v>
      </c>
      <c r="L103" s="20" t="s">
        <v>1815</v>
      </c>
      <c r="M103" s="24" t="s">
        <v>1816</v>
      </c>
      <c r="N103" s="38" t="s">
        <v>1817</v>
      </c>
      <c r="O103" s="20" t="s">
        <v>1818</v>
      </c>
      <c r="P103" s="20" t="s">
        <v>324</v>
      </c>
      <c r="Q103" s="20" t="s">
        <v>661</v>
      </c>
      <c r="R103" s="20" t="s">
        <v>1819</v>
      </c>
      <c r="S103" s="20" t="s">
        <v>914</v>
      </c>
      <c r="T103" s="75" t="s">
        <v>1820</v>
      </c>
      <c r="U103" s="38" t="s">
        <v>1821</v>
      </c>
      <c r="V103" s="20" t="s">
        <v>1822</v>
      </c>
      <c r="W103" s="46" t="s">
        <v>1823</v>
      </c>
      <c r="X103" s="20" t="s">
        <v>529</v>
      </c>
      <c r="Y103" s="20" t="s">
        <v>918</v>
      </c>
      <c r="Z103" s="20" t="s">
        <v>1824</v>
      </c>
      <c r="AA103" s="20" t="s">
        <v>1825</v>
      </c>
      <c r="AB103" s="20"/>
      <c r="AC103" s="20" t="s">
        <v>1826</v>
      </c>
      <c r="AD103" s="20" t="s">
        <v>1827</v>
      </c>
      <c r="AE103" s="20" t="s">
        <v>1828</v>
      </c>
      <c r="AF103" s="20" t="s">
        <v>1829</v>
      </c>
      <c r="AG103" s="20" t="s">
        <v>1830</v>
      </c>
      <c r="AH103" s="20" t="s">
        <v>324</v>
      </c>
      <c r="AI103" s="25" t="str">
        <f>HYPERLINK("mailto:lcasco@disagro.com","lcasco@disagro.com")</f>
        <v>lcasco@disagro.com</v>
      </c>
      <c r="AJ103" s="20" t="s">
        <v>1831</v>
      </c>
      <c r="AK103" s="20" t="s">
        <v>1832</v>
      </c>
      <c r="AL103" s="20"/>
      <c r="AM103" s="29"/>
      <c r="AN103" s="29"/>
      <c r="AO103" s="29"/>
      <c r="AP103" s="29"/>
      <c r="AQ103" s="29"/>
      <c r="AR103" s="29"/>
      <c r="AS103" s="29"/>
      <c r="AT103" s="29"/>
      <c r="AU103" s="29"/>
      <c r="AV103" s="29"/>
      <c r="AW103" s="29"/>
      <c r="AX103" s="29"/>
      <c r="AY103" s="29"/>
      <c r="AZ103" s="29"/>
      <c r="BA103" s="29"/>
      <c r="BB103" s="29"/>
      <c r="BC103" s="29"/>
      <c r="BD103" s="29"/>
      <c r="BE103" s="29"/>
      <c r="BF103" s="29"/>
    </row>
    <row r="104" ht="60.0" customHeight="1">
      <c r="A104" s="20" t="s">
        <v>1833</v>
      </c>
      <c r="B104" s="20" t="s">
        <v>1834</v>
      </c>
      <c r="C104" s="20" t="s">
        <v>47</v>
      </c>
      <c r="D104" s="21" t="s">
        <v>48</v>
      </c>
      <c r="E104" s="24" t="s">
        <v>157</v>
      </c>
      <c r="F104" s="20" t="s">
        <v>1835</v>
      </c>
      <c r="G104" s="20" t="s">
        <v>1668</v>
      </c>
      <c r="H104" s="23">
        <v>45385.0</v>
      </c>
      <c r="I104" s="23">
        <f>'17025 SAL'!$H104+$AN$1</f>
        <v>46845</v>
      </c>
      <c r="J104" s="23">
        <v>42073.0</v>
      </c>
      <c r="K104" s="20"/>
      <c r="L104" s="20" t="s">
        <v>1836</v>
      </c>
      <c r="M104" s="24" t="s">
        <v>1837</v>
      </c>
      <c r="N104" s="25" t="s">
        <v>1838</v>
      </c>
      <c r="O104" s="20" t="s">
        <v>1839</v>
      </c>
      <c r="P104" s="20" t="s">
        <v>1840</v>
      </c>
      <c r="Q104" s="20" t="s">
        <v>55</v>
      </c>
      <c r="R104" s="20" t="s">
        <v>1841</v>
      </c>
      <c r="S104" s="20" t="s">
        <v>104</v>
      </c>
      <c r="T104" s="20" t="s">
        <v>1842</v>
      </c>
      <c r="U104" s="25" t="str">
        <f>HYPERLINK("http://www.tec.ac.acr/sitios/docencia/construccion/civco;","www.tec.ac.acr/sitios/docencia/construccion/civco;")</f>
        <v>www.tec.ac.acr/sitios/docencia/construccion/civco;</v>
      </c>
      <c r="V104" s="20" t="s">
        <v>1843</v>
      </c>
      <c r="W104" s="20" t="s">
        <v>1844</v>
      </c>
      <c r="X104" s="20" t="s">
        <v>346</v>
      </c>
      <c r="Y104" s="20" t="s">
        <v>264</v>
      </c>
      <c r="Z104" s="20" t="s">
        <v>939</v>
      </c>
      <c r="AA104" s="20" t="s">
        <v>1845</v>
      </c>
      <c r="AB104" s="20"/>
      <c r="AC104" s="20" t="s">
        <v>1846</v>
      </c>
      <c r="AD104" s="20"/>
      <c r="AE104" s="20" t="s">
        <v>1847</v>
      </c>
      <c r="AF104" s="20" t="s">
        <v>1848</v>
      </c>
      <c r="AG104" s="20" t="s">
        <v>1845</v>
      </c>
      <c r="AH104" s="20" t="s">
        <v>1849</v>
      </c>
      <c r="AI104" s="25"/>
      <c r="AJ104" s="20"/>
      <c r="AK104" s="20" t="s">
        <v>1850</v>
      </c>
      <c r="AL104" s="20" t="s">
        <v>1851</v>
      </c>
      <c r="AM104" s="29"/>
      <c r="AN104" s="29"/>
      <c r="AO104" s="29"/>
      <c r="AP104" s="29"/>
      <c r="AQ104" s="29"/>
      <c r="AR104" s="29"/>
      <c r="AS104" s="29"/>
      <c r="AT104" s="29"/>
      <c r="AU104" s="29"/>
      <c r="AV104" s="29"/>
      <c r="AW104" s="29"/>
      <c r="AX104" s="29"/>
      <c r="AY104" s="29"/>
      <c r="AZ104" s="29"/>
      <c r="BA104" s="29"/>
      <c r="BB104" s="29"/>
      <c r="BC104" s="29"/>
      <c r="BD104" s="29"/>
      <c r="BE104" s="29"/>
      <c r="BF104" s="29"/>
    </row>
    <row r="105" ht="60.0" customHeight="1">
      <c r="A105" s="24" t="s">
        <v>1852</v>
      </c>
      <c r="B105" s="24"/>
      <c r="C105" s="24" t="s">
        <v>47</v>
      </c>
      <c r="D105" s="21" t="s">
        <v>48</v>
      </c>
      <c r="E105" s="24" t="s">
        <v>49</v>
      </c>
      <c r="F105" s="24" t="s">
        <v>1853</v>
      </c>
      <c r="G105" s="24" t="s">
        <v>1615</v>
      </c>
      <c r="H105" s="54">
        <v>43893.0</v>
      </c>
      <c r="I105" s="54">
        <f>'17025 SAL'!$H105+$AN$1</f>
        <v>45353</v>
      </c>
      <c r="J105" s="54">
        <v>41954.0</v>
      </c>
      <c r="K105" s="24"/>
      <c r="L105" s="26" t="s">
        <v>1854</v>
      </c>
      <c r="M105" s="76" t="s">
        <v>1855</v>
      </c>
      <c r="N105" s="31" t="s">
        <v>1856</v>
      </c>
      <c r="O105" s="26" t="s">
        <v>1857</v>
      </c>
      <c r="P105" s="24" t="s">
        <v>1858</v>
      </c>
      <c r="Q105" s="26" t="s">
        <v>1135</v>
      </c>
      <c r="R105" s="26" t="s">
        <v>1859</v>
      </c>
      <c r="S105" s="26" t="s">
        <v>1137</v>
      </c>
      <c r="T105" s="26" t="s">
        <v>1860</v>
      </c>
      <c r="U105" s="55" t="str">
        <f>HYPERLINK("http://www.industriasnacionales.com/","www.industriasnacionales.com")</f>
        <v>www.industriasnacionales.com</v>
      </c>
      <c r="V105" s="26" t="s">
        <v>1861</v>
      </c>
      <c r="W105" s="26" t="s">
        <v>1862</v>
      </c>
      <c r="X105" s="24" t="s">
        <v>62</v>
      </c>
      <c r="Y105" s="24" t="s">
        <v>1863</v>
      </c>
      <c r="Z105" s="24"/>
      <c r="AA105" s="26" t="s">
        <v>1864</v>
      </c>
      <c r="AB105" s="26"/>
      <c r="AC105" s="26" t="s">
        <v>1865</v>
      </c>
      <c r="AD105" s="24" t="s">
        <v>1866</v>
      </c>
      <c r="AE105" s="24" t="s">
        <v>1867</v>
      </c>
      <c r="AF105" s="24" t="s">
        <v>1868</v>
      </c>
      <c r="AG105" s="26" t="s">
        <v>1869</v>
      </c>
      <c r="AH105" s="24" t="s">
        <v>1870</v>
      </c>
      <c r="AI105" s="55" t="str">
        <f>HYPERLINK("mailto:lpeguero@gerdaumetaldom.com","lpeguero@gerdaumetaldom.com")</f>
        <v>lpeguero@gerdaumetaldom.com</v>
      </c>
      <c r="AJ105" s="24" t="s">
        <v>1871</v>
      </c>
      <c r="AK105" s="24" t="s">
        <v>1872</v>
      </c>
      <c r="AL105" s="24"/>
      <c r="AM105" s="29"/>
      <c r="AN105" s="29"/>
      <c r="AO105" s="29"/>
      <c r="AP105" s="29"/>
      <c r="AQ105" s="29"/>
      <c r="AR105" s="29"/>
      <c r="AS105" s="29"/>
      <c r="AT105" s="29"/>
      <c r="AU105" s="29"/>
      <c r="AV105" s="29"/>
      <c r="AW105" s="29"/>
      <c r="AX105" s="29"/>
      <c r="AY105" s="29"/>
      <c r="AZ105" s="29"/>
      <c r="BA105" s="29"/>
      <c r="BB105" s="29"/>
      <c r="BC105" s="29"/>
      <c r="BD105" s="29"/>
      <c r="BE105" s="29"/>
      <c r="BF105" s="29"/>
    </row>
    <row r="106" ht="60.0" customHeight="1">
      <c r="A106" s="20" t="s">
        <v>1873</v>
      </c>
      <c r="B106" s="20" t="s">
        <v>1874</v>
      </c>
      <c r="C106" s="20" t="s">
        <v>47</v>
      </c>
      <c r="D106" s="21" t="s">
        <v>314</v>
      </c>
      <c r="E106" s="20" t="s">
        <v>157</v>
      </c>
      <c r="F106" s="20" t="s">
        <v>1875</v>
      </c>
      <c r="G106" s="20" t="s">
        <v>1595</v>
      </c>
      <c r="H106" s="23">
        <v>45861.0</v>
      </c>
      <c r="I106" s="23" t="s">
        <v>76</v>
      </c>
      <c r="J106" s="23">
        <v>41835.0</v>
      </c>
      <c r="K106" s="20" t="s">
        <v>1876</v>
      </c>
      <c r="L106" s="20" t="s">
        <v>1877</v>
      </c>
      <c r="M106" s="24" t="s">
        <v>1878</v>
      </c>
      <c r="N106" s="31" t="s">
        <v>1879</v>
      </c>
      <c r="O106" s="20" t="s">
        <v>1880</v>
      </c>
      <c r="P106" s="20" t="s">
        <v>1881</v>
      </c>
      <c r="Q106" s="20" t="s">
        <v>55</v>
      </c>
      <c r="R106" s="20" t="s">
        <v>1882</v>
      </c>
      <c r="S106" s="20" t="s">
        <v>57</v>
      </c>
      <c r="T106" s="20" t="s">
        <v>1883</v>
      </c>
      <c r="U106" s="25" t="str">
        <f>HYPERLINK("http://www.sfe.go.cr/","www.sfe.go.cr")</f>
        <v>www.sfe.go.cr</v>
      </c>
      <c r="V106" s="24" t="s">
        <v>1884</v>
      </c>
      <c r="W106" s="24">
        <v>2.04310526E8</v>
      </c>
      <c r="X106" s="20" t="s">
        <v>326</v>
      </c>
      <c r="Y106" s="20" t="s">
        <v>63</v>
      </c>
      <c r="Z106" s="20" t="s">
        <v>1472</v>
      </c>
      <c r="AA106" s="20" t="s">
        <v>1885</v>
      </c>
      <c r="AB106" s="20"/>
      <c r="AC106" s="20" t="s">
        <v>243</v>
      </c>
      <c r="AD106" s="20"/>
      <c r="AE106" s="20"/>
      <c r="AF106" s="20"/>
      <c r="AG106" s="20"/>
      <c r="AH106" s="20"/>
      <c r="AI106" s="25"/>
      <c r="AJ106" s="20"/>
      <c r="AK106" s="20" t="s">
        <v>1873</v>
      </c>
      <c r="AL106" s="20" t="s">
        <v>1886</v>
      </c>
      <c r="AM106" s="16"/>
      <c r="AN106" s="16"/>
      <c r="AO106" s="16"/>
      <c r="AP106" s="16"/>
      <c r="AQ106" s="16"/>
      <c r="AR106" s="16"/>
      <c r="AS106" s="16"/>
      <c r="AT106" s="16"/>
      <c r="AU106" s="16"/>
      <c r="AV106" s="16"/>
      <c r="AW106" s="16"/>
      <c r="AX106" s="16"/>
      <c r="AY106" s="16"/>
      <c r="AZ106" s="16"/>
      <c r="BA106" s="16"/>
      <c r="BB106" s="16"/>
      <c r="BC106" s="16"/>
      <c r="BD106" s="16"/>
      <c r="BE106" s="16"/>
      <c r="BF106" s="16"/>
    </row>
    <row r="107" ht="60.0" customHeight="1">
      <c r="A107" s="20" t="s">
        <v>1887</v>
      </c>
      <c r="B107" s="20"/>
      <c r="C107" s="20" t="s">
        <v>231</v>
      </c>
      <c r="D107" s="21" t="s">
        <v>48</v>
      </c>
      <c r="E107" s="20" t="s">
        <v>49</v>
      </c>
      <c r="F107" s="20" t="s">
        <v>1888</v>
      </c>
      <c r="G107" s="20" t="s">
        <v>1889</v>
      </c>
      <c r="H107" s="23">
        <v>45834.0</v>
      </c>
      <c r="I107" s="23" t="s">
        <v>76</v>
      </c>
      <c r="J107" s="23">
        <v>41954.0</v>
      </c>
      <c r="K107" s="20"/>
      <c r="L107" s="20" t="s">
        <v>1890</v>
      </c>
      <c r="M107" s="24" t="s">
        <v>1891</v>
      </c>
      <c r="N107" s="26" t="s">
        <v>1892</v>
      </c>
      <c r="O107" s="20" t="s">
        <v>1893</v>
      </c>
      <c r="P107" s="20" t="s">
        <v>1894</v>
      </c>
      <c r="Q107" s="20" t="s">
        <v>55</v>
      </c>
      <c r="R107" s="20" t="s">
        <v>1895</v>
      </c>
      <c r="S107" s="20" t="s">
        <v>57</v>
      </c>
      <c r="T107" s="20" t="s">
        <v>1896</v>
      </c>
      <c r="U107" s="25" t="str">
        <f>HYPERLINK("http://www.elvatron.com/","www.elvatron.com")</f>
        <v>www.elvatron.com</v>
      </c>
      <c r="V107" s="20" t="s">
        <v>1897</v>
      </c>
      <c r="W107" s="20" t="s">
        <v>1898</v>
      </c>
      <c r="X107" s="20" t="s">
        <v>1899</v>
      </c>
      <c r="Y107" s="20" t="s">
        <v>63</v>
      </c>
      <c r="Z107" s="20" t="s">
        <v>1900</v>
      </c>
      <c r="AA107" s="20" t="s">
        <v>1901</v>
      </c>
      <c r="AB107" s="20"/>
      <c r="AC107" s="20" t="s">
        <v>1902</v>
      </c>
      <c r="AD107" s="20"/>
      <c r="AE107" s="20" t="s">
        <v>1903</v>
      </c>
      <c r="AF107" s="20" t="s">
        <v>1904</v>
      </c>
      <c r="AG107" s="20" t="s">
        <v>1905</v>
      </c>
      <c r="AH107" s="20" t="s">
        <v>1894</v>
      </c>
      <c r="AI107" s="25"/>
      <c r="AJ107" s="20"/>
      <c r="AK107" s="20" t="s">
        <v>1903</v>
      </c>
      <c r="AL107" s="20"/>
      <c r="AM107" s="69"/>
      <c r="AN107" s="69"/>
      <c r="AO107" s="69"/>
      <c r="AP107" s="69"/>
      <c r="AQ107" s="69"/>
      <c r="AR107" s="69"/>
      <c r="AS107" s="69"/>
      <c r="AT107" s="69"/>
      <c r="AU107" s="69"/>
      <c r="AV107" s="69"/>
      <c r="AW107" s="69"/>
      <c r="AX107" s="16"/>
      <c r="AY107" s="16"/>
      <c r="AZ107" s="16"/>
      <c r="BA107" s="16"/>
      <c r="BB107" s="16"/>
      <c r="BC107" s="16"/>
      <c r="BD107" s="16"/>
      <c r="BE107" s="16"/>
      <c r="BF107" s="16"/>
    </row>
    <row r="108" ht="60.0" customHeight="1">
      <c r="A108" s="47" t="s">
        <v>1906</v>
      </c>
      <c r="B108" s="47"/>
      <c r="C108" s="20" t="s">
        <v>47</v>
      </c>
      <c r="D108" s="21" t="s">
        <v>48</v>
      </c>
      <c r="E108" s="20" t="s">
        <v>49</v>
      </c>
      <c r="F108" s="20" t="s">
        <v>1907</v>
      </c>
      <c r="G108" s="20" t="s">
        <v>1630</v>
      </c>
      <c r="H108" s="23">
        <v>44120.0</v>
      </c>
      <c r="I108" s="23">
        <f>'17025 SAL'!$H108+$AN$1</f>
        <v>45580</v>
      </c>
      <c r="J108" s="23">
        <v>41968.0</v>
      </c>
      <c r="K108" s="20"/>
      <c r="L108" s="47" t="s">
        <v>1908</v>
      </c>
      <c r="M108" s="34" t="s">
        <v>1909</v>
      </c>
      <c r="N108" s="26" t="s">
        <v>1910</v>
      </c>
      <c r="O108" s="77" t="s">
        <v>1911</v>
      </c>
      <c r="P108" s="47" t="s">
        <v>1912</v>
      </c>
      <c r="Q108" s="20" t="s">
        <v>55</v>
      </c>
      <c r="R108" s="20" t="s">
        <v>1913</v>
      </c>
      <c r="S108" s="20" t="s">
        <v>57</v>
      </c>
      <c r="T108" s="20" t="s">
        <v>1914</v>
      </c>
      <c r="U108" s="73" t="str">
        <f>HYPERLINK("http://myv-sg.com/"," http://myv-sg.com/")</f>
        <v> http://myv-sg.com/</v>
      </c>
      <c r="V108" s="20" t="s">
        <v>1915</v>
      </c>
      <c r="W108" s="20" t="s">
        <v>1916</v>
      </c>
      <c r="X108" s="20" t="s">
        <v>62</v>
      </c>
      <c r="Y108" s="20" t="s">
        <v>63</v>
      </c>
      <c r="Z108" s="20" t="s">
        <v>1917</v>
      </c>
      <c r="AA108" s="20" t="s">
        <v>1918</v>
      </c>
      <c r="AB108" s="38" t="s">
        <v>1919</v>
      </c>
      <c r="AC108" s="20" t="s">
        <v>1902</v>
      </c>
      <c r="AD108" s="20" t="s">
        <v>76</v>
      </c>
      <c r="AE108" s="20" t="s">
        <v>1915</v>
      </c>
      <c r="AF108" s="20" t="s">
        <v>1920</v>
      </c>
      <c r="AG108" s="20" t="s">
        <v>1921</v>
      </c>
      <c r="AH108" s="20" t="s">
        <v>1912</v>
      </c>
      <c r="AI108" s="25" t="str">
        <f>HYPERLINK("mailto:mcoto@myv-sg.com","mcoto@myv-sg.com")</f>
        <v>mcoto@myv-sg.com</v>
      </c>
      <c r="AJ108" s="20" t="s">
        <v>1922</v>
      </c>
      <c r="AK108" s="53" t="s">
        <v>1906</v>
      </c>
      <c r="AL108" s="20"/>
      <c r="AM108" s="29"/>
      <c r="AN108" s="29"/>
      <c r="AO108" s="29"/>
      <c r="AP108" s="29"/>
      <c r="AQ108" s="29"/>
      <c r="AR108" s="29"/>
      <c r="AS108" s="29"/>
      <c r="AT108" s="29"/>
      <c r="AU108" s="29"/>
      <c r="AV108" s="29"/>
      <c r="AW108" s="29"/>
      <c r="AX108" s="29"/>
      <c r="AY108" s="29"/>
      <c r="AZ108" s="29"/>
      <c r="BA108" s="29"/>
      <c r="BB108" s="29"/>
      <c r="BC108" s="29"/>
      <c r="BD108" s="29"/>
      <c r="BE108" s="29"/>
      <c r="BF108" s="29"/>
    </row>
    <row r="109" ht="60.0" customHeight="1">
      <c r="A109" s="26" t="s">
        <v>1923</v>
      </c>
      <c r="B109" s="24"/>
      <c r="C109" s="24" t="s">
        <v>47</v>
      </c>
      <c r="D109" s="21" t="s">
        <v>213</v>
      </c>
      <c r="E109" s="24" t="s">
        <v>49</v>
      </c>
      <c r="F109" s="24" t="s">
        <v>1924</v>
      </c>
      <c r="G109" s="26" t="s">
        <v>1925</v>
      </c>
      <c r="H109" s="24"/>
      <c r="I109" s="54">
        <f>'17025 SAL'!$H109+$AN$1</f>
        <v>1460</v>
      </c>
      <c r="J109" s="54">
        <v>42227.0</v>
      </c>
      <c r="K109" s="24"/>
      <c r="L109" s="24" t="s">
        <v>1926</v>
      </c>
      <c r="M109" s="66" t="str">
        <f>HYPERLINK("mailto:amolina@geosolucionescr.com","amolina@geosolucionescr.com")</f>
        <v>amolina@geosolucionescr.com</v>
      </c>
      <c r="N109" s="65"/>
      <c r="O109" s="24">
        <v>2.2735732E7</v>
      </c>
      <c r="P109" s="24">
        <v>2.2735668E7</v>
      </c>
      <c r="Q109" s="24" t="s">
        <v>55</v>
      </c>
      <c r="R109" s="24" t="s">
        <v>1927</v>
      </c>
      <c r="S109" s="24" t="s">
        <v>104</v>
      </c>
      <c r="T109" s="24" t="s">
        <v>1928</v>
      </c>
      <c r="U109" s="55" t="str">
        <f>HYPERLINK("http://www.geosolucionescr.com/","www.geosolucionescr.com")</f>
        <v>www.geosolucionescr.com</v>
      </c>
      <c r="V109" s="24" t="s">
        <v>1929</v>
      </c>
      <c r="W109" s="24" t="s">
        <v>1930</v>
      </c>
      <c r="X109" s="24" t="s">
        <v>304</v>
      </c>
      <c r="Y109" s="24" t="s">
        <v>63</v>
      </c>
      <c r="Z109" s="24" t="s">
        <v>1931</v>
      </c>
      <c r="AA109" s="26" t="s">
        <v>1932</v>
      </c>
      <c r="AB109" s="24"/>
      <c r="AC109" s="24" t="s">
        <v>285</v>
      </c>
      <c r="AD109" s="24" t="s">
        <v>1933</v>
      </c>
      <c r="AE109" s="24" t="s">
        <v>1934</v>
      </c>
      <c r="AF109" s="24">
        <v>2.2735732E7</v>
      </c>
      <c r="AG109" s="24" t="s">
        <v>1935</v>
      </c>
      <c r="AH109" s="24">
        <v>2.2735668E7</v>
      </c>
      <c r="AI109" s="55" t="str">
        <f>HYPERLINK("mailto:mmolina@geosolucionescr.com"," mmolina@geosolucionescr.com")</f>
        <v> mmolina@geosolucionescr.com</v>
      </c>
      <c r="AJ109" s="24"/>
      <c r="AK109" s="24"/>
      <c r="AL109" s="24" t="s">
        <v>1936</v>
      </c>
      <c r="AM109" s="29"/>
      <c r="AN109" s="29"/>
      <c r="AO109" s="29"/>
      <c r="AP109" s="29"/>
      <c r="AQ109" s="29"/>
      <c r="AR109" s="29"/>
      <c r="AS109" s="29"/>
      <c r="AT109" s="29"/>
      <c r="AU109" s="29"/>
      <c r="AV109" s="29"/>
      <c r="AW109" s="29"/>
      <c r="AX109" s="29"/>
      <c r="AY109" s="29"/>
      <c r="AZ109" s="29"/>
      <c r="BA109" s="29"/>
      <c r="BB109" s="29"/>
      <c r="BC109" s="29"/>
      <c r="BD109" s="29"/>
      <c r="BE109" s="29"/>
      <c r="BF109" s="29"/>
    </row>
    <row r="110" ht="60.0" customHeight="1">
      <c r="A110" s="20" t="s">
        <v>1937</v>
      </c>
      <c r="B110" s="20" t="s">
        <v>1938</v>
      </c>
      <c r="C110" s="20" t="s">
        <v>47</v>
      </c>
      <c r="D110" s="21" t="s">
        <v>48</v>
      </c>
      <c r="E110" s="24" t="s">
        <v>157</v>
      </c>
      <c r="F110" s="20" t="s">
        <v>1939</v>
      </c>
      <c r="G110" s="20" t="s">
        <v>1940</v>
      </c>
      <c r="H110" s="23">
        <v>43630.0</v>
      </c>
      <c r="I110" s="23">
        <f>'17025 SAL'!$H110+$AN$1</f>
        <v>45090</v>
      </c>
      <c r="J110" s="23">
        <v>42031.0</v>
      </c>
      <c r="K110" s="20" t="s">
        <v>1941</v>
      </c>
      <c r="L110" s="20" t="s">
        <v>1942</v>
      </c>
      <c r="M110" s="24" t="s">
        <v>1943</v>
      </c>
      <c r="N110" s="34" t="s">
        <v>1944</v>
      </c>
      <c r="O110" s="46" t="s">
        <v>1945</v>
      </c>
      <c r="P110" s="46" t="s">
        <v>140</v>
      </c>
      <c r="Q110" s="20" t="s">
        <v>55</v>
      </c>
      <c r="R110" s="20" t="s">
        <v>1946</v>
      </c>
      <c r="S110" s="20" t="s">
        <v>57</v>
      </c>
      <c r="T110" s="46" t="s">
        <v>1947</v>
      </c>
      <c r="U110" s="78"/>
      <c r="V110" s="20" t="s">
        <v>1948</v>
      </c>
      <c r="W110" s="46" t="s">
        <v>1949</v>
      </c>
      <c r="X110" s="20" t="s">
        <v>1950</v>
      </c>
      <c r="Y110" s="20" t="s">
        <v>63</v>
      </c>
      <c r="Z110" s="20" t="s">
        <v>1951</v>
      </c>
      <c r="AA110" s="20" t="s">
        <v>1952</v>
      </c>
      <c r="AB110" s="20"/>
      <c r="AC110" s="46" t="s">
        <v>1865</v>
      </c>
      <c r="AD110" s="46"/>
      <c r="AE110" s="20" t="s">
        <v>1938</v>
      </c>
      <c r="AF110" s="46" t="s">
        <v>1953</v>
      </c>
      <c r="AG110" s="20" t="s">
        <v>1954</v>
      </c>
      <c r="AH110" s="46" t="s">
        <v>1953</v>
      </c>
      <c r="AI110" s="78"/>
      <c r="AJ110" s="47" t="s">
        <v>1955</v>
      </c>
      <c r="AK110" s="20" t="s">
        <v>1956</v>
      </c>
      <c r="AL110" s="20"/>
      <c r="AM110" s="16"/>
      <c r="AN110" s="16"/>
      <c r="AO110" s="16"/>
      <c r="AP110" s="16"/>
      <c r="AQ110" s="16"/>
      <c r="AR110" s="16"/>
      <c r="AS110" s="16"/>
      <c r="AT110" s="16"/>
      <c r="AU110" s="16"/>
      <c r="AV110" s="16"/>
      <c r="AW110" s="16"/>
      <c r="AX110" s="16"/>
      <c r="AY110" s="16"/>
      <c r="AZ110" s="16"/>
      <c r="BA110" s="16"/>
      <c r="BB110" s="16"/>
      <c r="BC110" s="16"/>
      <c r="BD110" s="16"/>
      <c r="BE110" s="16"/>
      <c r="BF110" s="16"/>
    </row>
    <row r="111" ht="60.0" customHeight="1">
      <c r="A111" s="26" t="s">
        <v>1957</v>
      </c>
      <c r="B111" s="20" t="s">
        <v>1938</v>
      </c>
      <c r="C111" s="20" t="s">
        <v>47</v>
      </c>
      <c r="D111" s="21" t="s">
        <v>48</v>
      </c>
      <c r="E111" s="24" t="s">
        <v>157</v>
      </c>
      <c r="F111" s="20" t="s">
        <v>1958</v>
      </c>
      <c r="G111" s="20" t="s">
        <v>1687</v>
      </c>
      <c r="H111" s="23">
        <v>43630.0</v>
      </c>
      <c r="I111" s="23">
        <f>'17025 SAL'!$H111+$AN$1</f>
        <v>45090</v>
      </c>
      <c r="J111" s="23">
        <v>42192.0</v>
      </c>
      <c r="K111" s="20"/>
      <c r="L111" s="20" t="s">
        <v>1959</v>
      </c>
      <c r="M111" s="24" t="s">
        <v>1960</v>
      </c>
      <c r="N111" s="25" t="s">
        <v>1961</v>
      </c>
      <c r="O111" s="20" t="s">
        <v>1945</v>
      </c>
      <c r="P111" s="46" t="s">
        <v>140</v>
      </c>
      <c r="Q111" s="20" t="s">
        <v>55</v>
      </c>
      <c r="R111" s="26" t="s">
        <v>1962</v>
      </c>
      <c r="S111" s="20" t="s">
        <v>979</v>
      </c>
      <c r="T111" s="24" t="s">
        <v>1947</v>
      </c>
      <c r="U111" s="78"/>
      <c r="V111" s="20" t="s">
        <v>1963</v>
      </c>
      <c r="W111" s="46" t="s">
        <v>1949</v>
      </c>
      <c r="X111" s="20" t="s">
        <v>1950</v>
      </c>
      <c r="Y111" s="20" t="s">
        <v>63</v>
      </c>
      <c r="Z111" s="20" t="s">
        <v>1951</v>
      </c>
      <c r="AA111" s="20" t="s">
        <v>1952</v>
      </c>
      <c r="AB111" s="20"/>
      <c r="AC111" s="46" t="s">
        <v>1865</v>
      </c>
      <c r="AD111" s="46"/>
      <c r="AE111" s="26" t="s">
        <v>1964</v>
      </c>
      <c r="AF111" s="24" t="s">
        <v>1965</v>
      </c>
      <c r="AG111" s="20" t="s">
        <v>1966</v>
      </c>
      <c r="AH111" s="46" t="s">
        <v>324</v>
      </c>
      <c r="AI111" s="78"/>
      <c r="AJ111" s="47" t="s">
        <v>1955</v>
      </c>
      <c r="AK111" s="20"/>
      <c r="AL111" s="20"/>
      <c r="AM111" s="29"/>
      <c r="AN111" s="29"/>
      <c r="AO111" s="29"/>
      <c r="AP111" s="29"/>
      <c r="AQ111" s="29"/>
      <c r="AR111" s="29"/>
      <c r="AS111" s="29"/>
      <c r="AT111" s="29"/>
      <c r="AU111" s="29"/>
      <c r="AV111" s="29"/>
      <c r="AW111" s="29"/>
      <c r="AX111" s="29"/>
      <c r="AY111" s="29"/>
      <c r="AZ111" s="29"/>
      <c r="BA111" s="29"/>
      <c r="BB111" s="29"/>
      <c r="BC111" s="29"/>
      <c r="BD111" s="29"/>
      <c r="BE111" s="29"/>
      <c r="BF111" s="29"/>
    </row>
    <row r="112" ht="60.0" customHeight="1">
      <c r="A112" s="26" t="s">
        <v>1967</v>
      </c>
      <c r="B112" s="26"/>
      <c r="C112" s="26" t="s">
        <v>231</v>
      </c>
      <c r="D112" s="21" t="s">
        <v>213</v>
      </c>
      <c r="E112" s="26" t="s">
        <v>157</v>
      </c>
      <c r="F112" s="26" t="s">
        <v>1968</v>
      </c>
      <c r="G112" s="26" t="s">
        <v>1969</v>
      </c>
      <c r="H112" s="26"/>
      <c r="I112" s="23">
        <f>'17025 SAL'!$H112+$AN$1</f>
        <v>1460</v>
      </c>
      <c r="J112" s="22">
        <v>42409.0</v>
      </c>
      <c r="K112" s="26"/>
      <c r="L112" s="26" t="s">
        <v>1541</v>
      </c>
      <c r="M112" s="20" t="s">
        <v>501</v>
      </c>
      <c r="N112" s="71" t="s">
        <v>324</v>
      </c>
      <c r="O112" s="26" t="s">
        <v>1970</v>
      </c>
      <c r="P112" s="26" t="s">
        <v>1971</v>
      </c>
      <c r="Q112" s="26" t="s">
        <v>55</v>
      </c>
      <c r="R112" s="26" t="s">
        <v>1972</v>
      </c>
      <c r="S112" s="26" t="s">
        <v>57</v>
      </c>
      <c r="T112" s="26" t="s">
        <v>1973</v>
      </c>
      <c r="U112" s="26" t="s">
        <v>324</v>
      </c>
      <c r="V112" s="26" t="s">
        <v>1974</v>
      </c>
      <c r="W112" s="26" t="s">
        <v>1975</v>
      </c>
      <c r="X112" s="26" t="s">
        <v>1293</v>
      </c>
      <c r="Y112" s="26" t="s">
        <v>1976</v>
      </c>
      <c r="Z112" s="26" t="s">
        <v>1977</v>
      </c>
      <c r="AA112" s="26" t="s">
        <v>1978</v>
      </c>
      <c r="AB112" s="26"/>
      <c r="AC112" s="26" t="s">
        <v>1979</v>
      </c>
      <c r="AD112" s="26" t="s">
        <v>1980</v>
      </c>
      <c r="AE112" s="26" t="s">
        <v>1981</v>
      </c>
      <c r="AF112" s="26" t="s">
        <v>1971</v>
      </c>
      <c r="AG112" s="26" t="s">
        <v>1972</v>
      </c>
      <c r="AH112" s="26" t="s">
        <v>1971</v>
      </c>
      <c r="AI112" s="34" t="str">
        <f>HYPERLINK("mailto:LCalder%C3%B3nS@ice.go.cr","LCalderónS@ice.go.cr")</f>
        <v>LCalderónS@ice.go.cr</v>
      </c>
      <c r="AJ112" s="26" t="s">
        <v>1982</v>
      </c>
      <c r="AK112" s="26" t="s">
        <v>518</v>
      </c>
      <c r="AL112" s="26"/>
      <c r="AM112" s="29"/>
      <c r="AN112" s="29"/>
      <c r="AO112" s="29"/>
      <c r="AP112" s="29"/>
      <c r="AQ112" s="29"/>
      <c r="AR112" s="29"/>
      <c r="AS112" s="29"/>
      <c r="AT112" s="29"/>
      <c r="AU112" s="29"/>
      <c r="AV112" s="29"/>
      <c r="AW112" s="29"/>
      <c r="AX112" s="29"/>
      <c r="AY112" s="29"/>
      <c r="AZ112" s="29"/>
      <c r="BA112" s="29"/>
      <c r="BB112" s="29"/>
      <c r="BC112" s="29"/>
      <c r="BD112" s="29"/>
      <c r="BE112" s="29"/>
      <c r="BF112" s="29"/>
    </row>
    <row r="113" ht="60.0" customHeight="1">
      <c r="A113" s="53" t="s">
        <v>1983</v>
      </c>
      <c r="B113" s="53" t="s">
        <v>1984</v>
      </c>
      <c r="C113" s="20" t="s">
        <v>47</v>
      </c>
      <c r="D113" s="21" t="s">
        <v>48</v>
      </c>
      <c r="E113" s="24" t="s">
        <v>157</v>
      </c>
      <c r="F113" s="20" t="s">
        <v>1985</v>
      </c>
      <c r="G113" s="20" t="s">
        <v>1778</v>
      </c>
      <c r="H113" s="23">
        <v>44012.0</v>
      </c>
      <c r="I113" s="23">
        <f>'17025 SAL'!$H113+$AN$1</f>
        <v>45472</v>
      </c>
      <c r="J113" s="23">
        <v>42437.0</v>
      </c>
      <c r="K113" s="20"/>
      <c r="L113" s="53" t="s">
        <v>1986</v>
      </c>
      <c r="M113" s="26" t="s">
        <v>1987</v>
      </c>
      <c r="N113" s="79"/>
      <c r="O113" s="53" t="s">
        <v>1988</v>
      </c>
      <c r="P113" s="53" t="s">
        <v>1989</v>
      </c>
      <c r="Q113" s="20" t="s">
        <v>55</v>
      </c>
      <c r="R113" s="53" t="s">
        <v>1990</v>
      </c>
      <c r="S113" s="20" t="s">
        <v>979</v>
      </c>
      <c r="T113" s="47" t="s">
        <v>260</v>
      </c>
      <c r="U113" s="46" t="s">
        <v>324</v>
      </c>
      <c r="V113" s="47" t="s">
        <v>1991</v>
      </c>
      <c r="W113" s="47">
        <v>1.0977081E8</v>
      </c>
      <c r="X113" s="53" t="s">
        <v>1992</v>
      </c>
      <c r="Y113" s="53" t="s">
        <v>63</v>
      </c>
      <c r="Z113" s="53" t="s">
        <v>1993</v>
      </c>
      <c r="AA113" s="53" t="s">
        <v>1994</v>
      </c>
      <c r="AB113" s="53" t="s">
        <v>1995</v>
      </c>
      <c r="AC113" s="53" t="s">
        <v>1996</v>
      </c>
      <c r="AD113" s="53" t="s">
        <v>1997</v>
      </c>
      <c r="AE113" s="53" t="s">
        <v>76</v>
      </c>
      <c r="AF113" s="47">
        <v>2.5216E7</v>
      </c>
      <c r="AG113" s="53" t="s">
        <v>1998</v>
      </c>
      <c r="AH113" s="47" t="s">
        <v>76</v>
      </c>
      <c r="AI113" s="80" t="s">
        <v>1999</v>
      </c>
      <c r="AJ113" s="53" t="s">
        <v>2000</v>
      </c>
      <c r="AK113" s="20" t="s">
        <v>2001</v>
      </c>
      <c r="AL113" s="20"/>
      <c r="AM113" s="29"/>
      <c r="AN113" s="29"/>
      <c r="AO113" s="29"/>
      <c r="AP113" s="29"/>
      <c r="AQ113" s="29"/>
      <c r="AR113" s="29"/>
      <c r="AS113" s="29"/>
      <c r="AT113" s="29"/>
      <c r="AU113" s="29"/>
      <c r="AV113" s="29"/>
      <c r="AW113" s="29"/>
      <c r="AX113" s="29"/>
      <c r="AY113" s="29"/>
      <c r="AZ113" s="29"/>
      <c r="BA113" s="29"/>
      <c r="BB113" s="29"/>
      <c r="BC113" s="29"/>
      <c r="BD113" s="29"/>
      <c r="BE113" s="29"/>
      <c r="BF113" s="29"/>
    </row>
    <row r="114" ht="60.0" customHeight="1">
      <c r="A114" s="53" t="s">
        <v>2002</v>
      </c>
      <c r="B114" s="20" t="s">
        <v>355</v>
      </c>
      <c r="C114" s="20" t="s">
        <v>231</v>
      </c>
      <c r="D114" s="21" t="s">
        <v>48</v>
      </c>
      <c r="E114" s="24" t="s">
        <v>157</v>
      </c>
      <c r="F114" s="20" t="s">
        <v>2003</v>
      </c>
      <c r="G114" s="20" t="s">
        <v>2004</v>
      </c>
      <c r="H114" s="22">
        <v>45453.0</v>
      </c>
      <c r="I114" s="22" t="s">
        <v>76</v>
      </c>
      <c r="J114" s="23">
        <v>42332.0</v>
      </c>
      <c r="K114" s="20" t="s">
        <v>2005</v>
      </c>
      <c r="L114" s="53" t="s">
        <v>872</v>
      </c>
      <c r="M114" s="53" t="s">
        <v>2006</v>
      </c>
      <c r="N114" s="24"/>
      <c r="O114" s="53" t="s">
        <v>2007</v>
      </c>
      <c r="P114" s="53" t="s">
        <v>2008</v>
      </c>
      <c r="Q114" s="20" t="s">
        <v>55</v>
      </c>
      <c r="R114" s="53" t="s">
        <v>2009</v>
      </c>
      <c r="S114" s="20" t="s">
        <v>57</v>
      </c>
      <c r="T114" s="47" t="s">
        <v>1635</v>
      </c>
      <c r="U114" s="73" t="str">
        <f>HYPERLINK("mailto:icelee@ice.go.cr","icelee@ice.go.cr")</f>
        <v>icelee@ice.go.cr</v>
      </c>
      <c r="V114" s="20" t="s">
        <v>2010</v>
      </c>
      <c r="W114" s="20" t="s">
        <v>880</v>
      </c>
      <c r="X114" s="20" t="s">
        <v>346</v>
      </c>
      <c r="Y114" s="20" t="s">
        <v>264</v>
      </c>
      <c r="Z114" s="20"/>
      <c r="AA114" s="20" t="s">
        <v>881</v>
      </c>
      <c r="AB114" s="20"/>
      <c r="AC114" s="20" t="s">
        <v>2011</v>
      </c>
      <c r="AD114" s="53"/>
      <c r="AE114" s="53" t="s">
        <v>355</v>
      </c>
      <c r="AF114" s="47" t="s">
        <v>2007</v>
      </c>
      <c r="AG114" s="47" t="s">
        <v>2012</v>
      </c>
      <c r="AH114" s="47" t="s">
        <v>2008</v>
      </c>
      <c r="AI114" s="25"/>
      <c r="AJ114" s="53"/>
      <c r="AK114" s="20"/>
      <c r="AL114" s="20"/>
      <c r="AM114" s="29"/>
      <c r="AN114" s="29"/>
      <c r="AO114" s="29"/>
      <c r="AP114" s="29"/>
      <c r="AQ114" s="29"/>
      <c r="AR114" s="29"/>
      <c r="AS114" s="29"/>
      <c r="AT114" s="29"/>
      <c r="AU114" s="29"/>
      <c r="AV114" s="29"/>
      <c r="AW114" s="29"/>
      <c r="AX114" s="29"/>
      <c r="AY114" s="29"/>
      <c r="AZ114" s="29"/>
      <c r="BA114" s="29"/>
      <c r="BB114" s="29"/>
      <c r="BC114" s="29"/>
      <c r="BD114" s="29"/>
      <c r="BE114" s="29"/>
      <c r="BF114" s="29"/>
    </row>
    <row r="115" ht="60.0" customHeight="1">
      <c r="A115" s="53" t="s">
        <v>2013</v>
      </c>
      <c r="B115" s="53"/>
      <c r="C115" s="20" t="s">
        <v>47</v>
      </c>
      <c r="D115" s="21" t="s">
        <v>48</v>
      </c>
      <c r="E115" s="24" t="s">
        <v>49</v>
      </c>
      <c r="F115" s="20" t="s">
        <v>2014</v>
      </c>
      <c r="G115" s="20" t="s">
        <v>1759</v>
      </c>
      <c r="H115" s="23">
        <v>45434.0</v>
      </c>
      <c r="I115" s="23">
        <f>'17025 SAL'!$H115+$AN$1</f>
        <v>46894</v>
      </c>
      <c r="J115" s="23">
        <v>42409.0</v>
      </c>
      <c r="K115" s="20"/>
      <c r="L115" s="53" t="s">
        <v>824</v>
      </c>
      <c r="M115" s="24" t="s">
        <v>2015</v>
      </c>
      <c r="N115" s="24" t="s">
        <v>2016</v>
      </c>
      <c r="O115" s="53" t="s">
        <v>2017</v>
      </c>
      <c r="P115" s="53" t="s">
        <v>2018</v>
      </c>
      <c r="Q115" s="20" t="s">
        <v>55</v>
      </c>
      <c r="R115" s="53" t="s">
        <v>2019</v>
      </c>
      <c r="S115" s="20" t="s">
        <v>57</v>
      </c>
      <c r="T115" s="47" t="s">
        <v>2020</v>
      </c>
      <c r="U115" s="73" t="s">
        <v>324</v>
      </c>
      <c r="V115" s="53" t="s">
        <v>2021</v>
      </c>
      <c r="W115" s="47">
        <v>1.05190776E8</v>
      </c>
      <c r="X115" s="53" t="s">
        <v>957</v>
      </c>
      <c r="Y115" s="53" t="s">
        <v>85</v>
      </c>
      <c r="Z115" s="53" t="s">
        <v>2022</v>
      </c>
      <c r="AA115" s="53" t="s">
        <v>2019</v>
      </c>
      <c r="AB115" s="53"/>
      <c r="AC115" s="53" t="s">
        <v>67</v>
      </c>
      <c r="AD115" s="53" t="s">
        <v>2023</v>
      </c>
      <c r="AE115" s="53" t="s">
        <v>2013</v>
      </c>
      <c r="AF115" s="47">
        <v>2.2850302E7</v>
      </c>
      <c r="AG115" s="53" t="s">
        <v>2019</v>
      </c>
      <c r="AH115" s="47" t="s">
        <v>2018</v>
      </c>
      <c r="AI115" s="34" t="s">
        <v>2024</v>
      </c>
      <c r="AJ115" s="53" t="s">
        <v>2025</v>
      </c>
      <c r="AK115" s="20" t="s">
        <v>2013</v>
      </c>
      <c r="AL115" s="20"/>
      <c r="AM115" s="29"/>
      <c r="AN115" s="29"/>
      <c r="AO115" s="29"/>
      <c r="AP115" s="29"/>
      <c r="AQ115" s="29"/>
      <c r="AR115" s="29"/>
      <c r="AS115" s="29"/>
      <c r="AT115" s="29"/>
      <c r="AU115" s="29"/>
      <c r="AV115" s="29"/>
      <c r="AW115" s="29"/>
      <c r="AX115" s="29"/>
      <c r="AY115" s="29"/>
      <c r="AZ115" s="29"/>
      <c r="BA115" s="29"/>
      <c r="BB115" s="29"/>
      <c r="BC115" s="29"/>
      <c r="BD115" s="29"/>
      <c r="BE115" s="29"/>
      <c r="BF115" s="29"/>
    </row>
    <row r="116" ht="60.0" customHeight="1">
      <c r="A116" s="26" t="s">
        <v>2026</v>
      </c>
      <c r="B116" s="26"/>
      <c r="C116" s="26" t="s">
        <v>47</v>
      </c>
      <c r="D116" s="21" t="s">
        <v>2027</v>
      </c>
      <c r="E116" s="26" t="s">
        <v>49</v>
      </c>
      <c r="F116" s="26" t="s">
        <v>2028</v>
      </c>
      <c r="G116" s="26"/>
      <c r="H116" s="22">
        <v>43991.0</v>
      </c>
      <c r="I116" s="22">
        <f>'17025 SAL'!$H116+$AN$1</f>
        <v>45451</v>
      </c>
      <c r="J116" s="26"/>
      <c r="K116" s="26"/>
      <c r="L116" s="26" t="s">
        <v>2029</v>
      </c>
      <c r="M116" s="71" t="s">
        <v>2030</v>
      </c>
      <c r="N116" s="58" t="s">
        <v>2031</v>
      </c>
      <c r="O116" s="26" t="s">
        <v>2032</v>
      </c>
      <c r="P116" s="26">
        <v>2431557.0</v>
      </c>
      <c r="Q116" s="26" t="s">
        <v>55</v>
      </c>
      <c r="R116" s="26" t="s">
        <v>2033</v>
      </c>
      <c r="S116" s="26" t="s">
        <v>979</v>
      </c>
      <c r="T116" s="26">
        <v>3.101262062E9</v>
      </c>
      <c r="U116" s="56" t="str">
        <f>HYPERLINK("http://www.gaia.cr.com/","www.gaia.cr.com")</f>
        <v>www.gaia.cr.com</v>
      </c>
      <c r="V116" s="26" t="s">
        <v>2034</v>
      </c>
      <c r="W116" s="26">
        <v>1.09010079E8</v>
      </c>
      <c r="X116" s="26" t="s">
        <v>326</v>
      </c>
      <c r="Y116" s="26" t="s">
        <v>63</v>
      </c>
      <c r="Z116" s="26" t="s">
        <v>2035</v>
      </c>
      <c r="AA116" s="53" t="s">
        <v>2036</v>
      </c>
      <c r="AB116" s="53"/>
      <c r="AC116" s="26" t="s">
        <v>1055</v>
      </c>
      <c r="AD116" s="26" t="s">
        <v>2037</v>
      </c>
      <c r="AE116" s="26" t="s">
        <v>2038</v>
      </c>
      <c r="AF116" s="26" t="s">
        <v>2039</v>
      </c>
      <c r="AG116" s="26" t="s">
        <v>2040</v>
      </c>
      <c r="AH116" s="26">
        <v>2431557.0</v>
      </c>
      <c r="AI116" s="26" t="s">
        <v>2041</v>
      </c>
      <c r="AJ116" s="26" t="s">
        <v>2042</v>
      </c>
      <c r="AK116" s="26" t="s">
        <v>2038</v>
      </c>
      <c r="AL116" s="26" t="s">
        <v>2043</v>
      </c>
      <c r="AM116" s="16"/>
      <c r="AN116" s="16"/>
      <c r="AO116" s="16"/>
      <c r="AP116" s="16"/>
      <c r="AQ116" s="16"/>
      <c r="AR116" s="16"/>
      <c r="AS116" s="16"/>
      <c r="AT116" s="16"/>
      <c r="AU116" s="16"/>
      <c r="AV116" s="16"/>
      <c r="AW116" s="16"/>
      <c r="AX116" s="16"/>
      <c r="AY116" s="16"/>
      <c r="AZ116" s="16"/>
      <c r="BA116" s="16"/>
      <c r="BB116" s="16"/>
      <c r="BC116" s="16"/>
      <c r="BD116" s="16"/>
      <c r="BE116" s="16"/>
      <c r="BF116" s="16"/>
    </row>
    <row r="117" ht="60.0" customHeight="1">
      <c r="A117" s="53" t="s">
        <v>2044</v>
      </c>
      <c r="B117" s="53"/>
      <c r="C117" s="20" t="s">
        <v>231</v>
      </c>
      <c r="D117" s="21" t="s">
        <v>822</v>
      </c>
      <c r="E117" s="24" t="s">
        <v>49</v>
      </c>
      <c r="F117" s="20" t="s">
        <v>2045</v>
      </c>
      <c r="G117" s="20" t="s">
        <v>2046</v>
      </c>
      <c r="H117" s="23">
        <v>43507.0</v>
      </c>
      <c r="I117" s="23">
        <f>'17025 SAL'!$H117+$AN$1</f>
        <v>44967</v>
      </c>
      <c r="J117" s="23">
        <v>42472.0</v>
      </c>
      <c r="K117" s="20"/>
      <c r="L117" s="53" t="s">
        <v>2047</v>
      </c>
      <c r="M117" s="24" t="s">
        <v>2048</v>
      </c>
      <c r="N117" s="24" t="s">
        <v>2049</v>
      </c>
      <c r="O117" s="53" t="s">
        <v>2050</v>
      </c>
      <c r="P117" s="53" t="s">
        <v>2051</v>
      </c>
      <c r="Q117" s="20" t="s">
        <v>55</v>
      </c>
      <c r="R117" s="53" t="s">
        <v>2052</v>
      </c>
      <c r="S117" s="20" t="s">
        <v>57</v>
      </c>
      <c r="T117" s="47" t="s">
        <v>2053</v>
      </c>
      <c r="U117" s="73" t="s">
        <v>2054</v>
      </c>
      <c r="V117" s="47" t="s">
        <v>2055</v>
      </c>
      <c r="W117" s="47" t="s">
        <v>2056</v>
      </c>
      <c r="X117" s="53" t="s">
        <v>62</v>
      </c>
      <c r="Y117" s="53" t="s">
        <v>63</v>
      </c>
      <c r="Z117" s="53" t="s">
        <v>2057</v>
      </c>
      <c r="AA117" s="53" t="s">
        <v>2058</v>
      </c>
      <c r="AB117" s="53"/>
      <c r="AC117" s="53" t="s">
        <v>67</v>
      </c>
      <c r="AD117" s="53" t="s">
        <v>2059</v>
      </c>
      <c r="AE117" s="53" t="s">
        <v>2044</v>
      </c>
      <c r="AF117" s="47" t="s">
        <v>2050</v>
      </c>
      <c r="AG117" s="53" t="s">
        <v>2060</v>
      </c>
      <c r="AH117" s="47" t="s">
        <v>2051</v>
      </c>
      <c r="AI117" s="25" t="s">
        <v>2048</v>
      </c>
      <c r="AJ117" s="53" t="s">
        <v>2061</v>
      </c>
      <c r="AK117" s="53" t="s">
        <v>2044</v>
      </c>
      <c r="AL117" s="20" t="s">
        <v>1776</v>
      </c>
      <c r="AM117" s="16"/>
      <c r="AN117" s="16"/>
      <c r="AO117" s="16"/>
      <c r="AP117" s="16"/>
      <c r="AQ117" s="16"/>
      <c r="AR117" s="16"/>
      <c r="AS117" s="16"/>
      <c r="AT117" s="16"/>
      <c r="AU117" s="16"/>
      <c r="AV117" s="16"/>
      <c r="AW117" s="16"/>
      <c r="AX117" s="16"/>
      <c r="AY117" s="16"/>
      <c r="AZ117" s="16"/>
      <c r="BA117" s="16"/>
      <c r="BB117" s="16"/>
      <c r="BC117" s="16"/>
      <c r="BD117" s="16"/>
      <c r="BE117" s="16"/>
      <c r="BF117" s="16"/>
    </row>
    <row r="118" ht="60.0" customHeight="1">
      <c r="A118" s="53" t="s">
        <v>2062</v>
      </c>
      <c r="B118" s="53" t="s">
        <v>2062</v>
      </c>
      <c r="C118" s="20" t="s">
        <v>47</v>
      </c>
      <c r="D118" s="21" t="s">
        <v>213</v>
      </c>
      <c r="E118" s="24" t="s">
        <v>2063</v>
      </c>
      <c r="F118" s="20" t="s">
        <v>2064</v>
      </c>
      <c r="G118" s="20" t="s">
        <v>2065</v>
      </c>
      <c r="H118" s="23"/>
      <c r="I118" s="23">
        <f>'17025 SAL'!$H118+$AN$1</f>
        <v>1460</v>
      </c>
      <c r="J118" s="23">
        <v>42779.0</v>
      </c>
      <c r="K118" s="20"/>
      <c r="L118" s="24" t="s">
        <v>2066</v>
      </c>
      <c r="M118" s="20" t="s">
        <v>52</v>
      </c>
      <c r="N118" s="20" t="s">
        <v>66</v>
      </c>
      <c r="O118" s="53" t="s">
        <v>2067</v>
      </c>
      <c r="P118" s="53" t="s">
        <v>2068</v>
      </c>
      <c r="Q118" s="20" t="s">
        <v>55</v>
      </c>
      <c r="R118" s="53" t="s">
        <v>2069</v>
      </c>
      <c r="S118" s="20" t="s">
        <v>57</v>
      </c>
      <c r="T118" s="47" t="s">
        <v>2070</v>
      </c>
      <c r="U118" s="49" t="s">
        <v>2071</v>
      </c>
      <c r="V118" s="53" t="s">
        <v>2072</v>
      </c>
      <c r="W118" s="47" t="s">
        <v>61</v>
      </c>
      <c r="X118" s="53" t="s">
        <v>1899</v>
      </c>
      <c r="Y118" s="53" t="s">
        <v>63</v>
      </c>
      <c r="Z118" s="53" t="s">
        <v>1472</v>
      </c>
      <c r="AA118" s="53" t="s">
        <v>2073</v>
      </c>
      <c r="AB118" s="53"/>
      <c r="AC118" s="53" t="s">
        <v>2074</v>
      </c>
      <c r="AD118" s="53" t="s">
        <v>2075</v>
      </c>
      <c r="AE118" s="53" t="s">
        <v>2076</v>
      </c>
      <c r="AF118" s="47" t="s">
        <v>2077</v>
      </c>
      <c r="AG118" s="53" t="s">
        <v>2069</v>
      </c>
      <c r="AH118" s="47" t="s">
        <v>2068</v>
      </c>
      <c r="AI118" s="49" t="s">
        <v>2078</v>
      </c>
      <c r="AJ118" s="53" t="s">
        <v>2079</v>
      </c>
      <c r="AK118" s="20" t="s">
        <v>2076</v>
      </c>
      <c r="AL118" s="20" t="s">
        <v>2080</v>
      </c>
      <c r="AM118" s="29"/>
      <c r="AN118" s="29"/>
      <c r="AO118" s="29"/>
      <c r="AP118" s="29"/>
      <c r="AQ118" s="29"/>
      <c r="AR118" s="29"/>
      <c r="AS118" s="29"/>
      <c r="AT118" s="29"/>
      <c r="AU118" s="29"/>
      <c r="AV118" s="29"/>
      <c r="AW118" s="29"/>
      <c r="AX118" s="29"/>
      <c r="AY118" s="29"/>
      <c r="AZ118" s="29"/>
      <c r="BA118" s="29"/>
      <c r="BB118" s="29"/>
      <c r="BC118" s="29"/>
      <c r="BD118" s="29"/>
      <c r="BE118" s="29"/>
      <c r="BF118" s="29"/>
    </row>
    <row r="119" ht="60.0" customHeight="1">
      <c r="A119" s="53" t="s">
        <v>2081</v>
      </c>
      <c r="B119" s="53" t="s">
        <v>2082</v>
      </c>
      <c r="C119" s="20" t="s">
        <v>47</v>
      </c>
      <c r="D119" s="21" t="s">
        <v>48</v>
      </c>
      <c r="E119" s="24" t="s">
        <v>157</v>
      </c>
      <c r="F119" s="20" t="s">
        <v>2083</v>
      </c>
      <c r="G119" s="20" t="s">
        <v>1875</v>
      </c>
      <c r="H119" s="22">
        <v>45841.0</v>
      </c>
      <c r="I119" s="22" t="s">
        <v>76</v>
      </c>
      <c r="J119" s="23">
        <v>42905.0</v>
      </c>
      <c r="K119" s="20" t="s">
        <v>2084</v>
      </c>
      <c r="L119" s="53" t="s">
        <v>2085</v>
      </c>
      <c r="M119" s="53" t="s">
        <v>2086</v>
      </c>
      <c r="N119" s="25" t="s">
        <v>2087</v>
      </c>
      <c r="O119" s="53" t="s">
        <v>2088</v>
      </c>
      <c r="P119" s="53" t="s">
        <v>324</v>
      </c>
      <c r="Q119" s="20" t="s">
        <v>55</v>
      </c>
      <c r="R119" s="53" t="s">
        <v>2089</v>
      </c>
      <c r="S119" s="20" t="s">
        <v>2090</v>
      </c>
      <c r="T119" s="47" t="s">
        <v>2091</v>
      </c>
      <c r="U119" s="73" t="s">
        <v>2092</v>
      </c>
      <c r="V119" s="47" t="s">
        <v>2093</v>
      </c>
      <c r="W119" s="47"/>
      <c r="X119" s="53" t="s">
        <v>84</v>
      </c>
      <c r="Y119" s="53" t="s">
        <v>63</v>
      </c>
      <c r="Z119" s="53" t="s">
        <v>2094</v>
      </c>
      <c r="AA119" s="53" t="s">
        <v>2089</v>
      </c>
      <c r="AB119" s="53"/>
      <c r="AC119" s="53" t="s">
        <v>2095</v>
      </c>
      <c r="AD119" s="53" t="s">
        <v>2096</v>
      </c>
      <c r="AE119" s="53" t="s">
        <v>2097</v>
      </c>
      <c r="AF119" s="47" t="s">
        <v>2098</v>
      </c>
      <c r="AG119" s="53" t="s">
        <v>2089</v>
      </c>
      <c r="AH119" s="47" t="s">
        <v>324</v>
      </c>
      <c r="AI119" s="34" t="s">
        <v>2099</v>
      </c>
      <c r="AJ119" s="53" t="s">
        <v>2100</v>
      </c>
      <c r="AK119" s="20" t="s">
        <v>2081</v>
      </c>
      <c r="AL119" s="20" t="s">
        <v>2101</v>
      </c>
      <c r="AM119" s="16"/>
      <c r="AN119" s="16"/>
      <c r="AO119" s="16"/>
      <c r="AP119" s="16"/>
      <c r="AQ119" s="16"/>
      <c r="AR119" s="16"/>
      <c r="AS119" s="16"/>
      <c r="AT119" s="16"/>
      <c r="AU119" s="16"/>
      <c r="AV119" s="16"/>
      <c r="AW119" s="16"/>
      <c r="AX119" s="16"/>
      <c r="AY119" s="16"/>
      <c r="AZ119" s="16"/>
      <c r="BA119" s="16"/>
      <c r="BB119" s="16"/>
      <c r="BC119" s="16"/>
      <c r="BD119" s="16"/>
      <c r="BE119" s="16"/>
      <c r="BF119" s="16"/>
    </row>
    <row r="120" ht="60.0" customHeight="1">
      <c r="A120" s="53" t="s">
        <v>2102</v>
      </c>
      <c r="B120" s="53"/>
      <c r="C120" s="20" t="s">
        <v>47</v>
      </c>
      <c r="D120" s="21" t="s">
        <v>2027</v>
      </c>
      <c r="E120" s="24" t="s">
        <v>49</v>
      </c>
      <c r="F120" s="20" t="s">
        <v>2103</v>
      </c>
      <c r="G120" s="20"/>
      <c r="H120" s="20"/>
      <c r="I120" s="22">
        <f>'17025 SAL'!$H120+$AN$1</f>
        <v>1460</v>
      </c>
      <c r="J120" s="20"/>
      <c r="K120" s="20"/>
      <c r="L120" s="53" t="s">
        <v>2104</v>
      </c>
      <c r="M120" s="68" t="str">
        <f>HYPERLINK("mailto:dnunez@dgeosoluciones.com","dnunez@dgeosoluciones.com")</f>
        <v>dnunez@dgeosoluciones.com</v>
      </c>
      <c r="N120" s="53" t="s">
        <v>2105</v>
      </c>
      <c r="O120" s="53" t="s">
        <v>2106</v>
      </c>
      <c r="P120" s="53" t="s">
        <v>2107</v>
      </c>
      <c r="Q120" s="20"/>
      <c r="R120" s="53" t="s">
        <v>2108</v>
      </c>
      <c r="S120" s="20" t="s">
        <v>57</v>
      </c>
      <c r="T120" s="47" t="s">
        <v>2109</v>
      </c>
      <c r="U120" s="73" t="str">
        <f>HYPERLINK("http://www.dgeosoluciones.com/","www.dgeosoluciones.com")</f>
        <v>www.dgeosoluciones.com</v>
      </c>
      <c r="V120" s="47" t="s">
        <v>2110</v>
      </c>
      <c r="W120" s="47" t="s">
        <v>2111</v>
      </c>
      <c r="X120" s="53"/>
      <c r="Y120" s="53" t="s">
        <v>85</v>
      </c>
      <c r="Z120" s="53" t="s">
        <v>411</v>
      </c>
      <c r="AA120" s="53" t="s">
        <v>2108</v>
      </c>
      <c r="AB120" s="53"/>
      <c r="AC120" s="53" t="s">
        <v>67</v>
      </c>
      <c r="AD120" s="53"/>
      <c r="AE120" s="53" t="s">
        <v>2112</v>
      </c>
      <c r="AF120" s="53" t="s">
        <v>2106</v>
      </c>
      <c r="AG120" s="53" t="s">
        <v>2108</v>
      </c>
      <c r="AH120" s="53" t="s">
        <v>2107</v>
      </c>
      <c r="AI120" s="25"/>
      <c r="AJ120" s="53"/>
      <c r="AK120" s="20"/>
      <c r="AL120" s="20"/>
      <c r="AM120" s="29"/>
      <c r="AN120" s="29"/>
      <c r="AO120" s="29"/>
      <c r="AP120" s="29"/>
      <c r="AQ120" s="29"/>
      <c r="AR120" s="29"/>
      <c r="AS120" s="29"/>
      <c r="AT120" s="29"/>
      <c r="AU120" s="29"/>
      <c r="AV120" s="29"/>
      <c r="AW120" s="29"/>
      <c r="AX120" s="29"/>
      <c r="AY120" s="29"/>
      <c r="AZ120" s="29"/>
      <c r="BA120" s="29"/>
      <c r="BB120" s="29"/>
      <c r="BC120" s="29"/>
      <c r="BD120" s="29"/>
      <c r="BE120" s="29"/>
      <c r="BF120" s="29"/>
    </row>
    <row r="121" ht="60.0" customHeight="1">
      <c r="A121" s="20" t="s">
        <v>2113</v>
      </c>
      <c r="B121" s="20" t="s">
        <v>2114</v>
      </c>
      <c r="C121" s="20" t="s">
        <v>47</v>
      </c>
      <c r="D121" s="21" t="s">
        <v>48</v>
      </c>
      <c r="E121" s="24" t="s">
        <v>49</v>
      </c>
      <c r="F121" s="20" t="s">
        <v>2115</v>
      </c>
      <c r="G121" s="20" t="s">
        <v>1835</v>
      </c>
      <c r="H121" s="23">
        <v>45386.0</v>
      </c>
      <c r="I121" s="23">
        <f>'17025 SAL'!$H121+$AN$1</f>
        <v>46846</v>
      </c>
      <c r="J121" s="23">
        <v>42810.0</v>
      </c>
      <c r="K121" s="20"/>
      <c r="L121" s="20" t="s">
        <v>2116</v>
      </c>
      <c r="M121" s="24" t="s">
        <v>2117</v>
      </c>
      <c r="N121" s="38" t="s">
        <v>2118</v>
      </c>
      <c r="O121" s="20" t="s">
        <v>2119</v>
      </c>
      <c r="P121" s="20"/>
      <c r="Q121" s="20" t="s">
        <v>1135</v>
      </c>
      <c r="R121" s="20" t="s">
        <v>2120</v>
      </c>
      <c r="S121" s="20" t="s">
        <v>1135</v>
      </c>
      <c r="T121" s="20">
        <v>1.31121381E8</v>
      </c>
      <c r="U121" s="25" t="str">
        <f>HYPERLINK("http://www.alsgobal.com/","www.alsgobal.com")</f>
        <v>www.alsgobal.com</v>
      </c>
      <c r="V121" s="20" t="s">
        <v>2121</v>
      </c>
      <c r="W121" s="20">
        <v>4347650.0</v>
      </c>
      <c r="X121" s="20" t="s">
        <v>529</v>
      </c>
      <c r="Y121" s="20" t="s">
        <v>2122</v>
      </c>
      <c r="Z121" s="20" t="s">
        <v>2123</v>
      </c>
      <c r="AA121" s="20" t="s">
        <v>2120</v>
      </c>
      <c r="AB121" s="20"/>
      <c r="AC121" s="20" t="s">
        <v>2124</v>
      </c>
      <c r="AD121" s="20" t="s">
        <v>2125</v>
      </c>
      <c r="AE121" s="20" t="s">
        <v>2113</v>
      </c>
      <c r="AF121" s="20" t="s">
        <v>2126</v>
      </c>
      <c r="AG121" s="20" t="s">
        <v>2120</v>
      </c>
      <c r="AH121" s="20"/>
      <c r="AI121" s="20" t="s">
        <v>2127</v>
      </c>
      <c r="AJ121" s="20" t="s">
        <v>2128</v>
      </c>
      <c r="AK121" s="26" t="s">
        <v>2129</v>
      </c>
      <c r="AL121" s="20"/>
      <c r="AM121" s="16"/>
      <c r="AN121" s="16"/>
      <c r="AO121" s="16"/>
      <c r="AP121" s="16"/>
      <c r="AQ121" s="16"/>
      <c r="AR121" s="16"/>
      <c r="AS121" s="16"/>
      <c r="AT121" s="16"/>
      <c r="AU121" s="16"/>
      <c r="AV121" s="16"/>
      <c r="AW121" s="16"/>
      <c r="AX121" s="16"/>
      <c r="AY121" s="16"/>
      <c r="AZ121" s="16"/>
      <c r="BA121" s="16"/>
      <c r="BB121" s="16"/>
      <c r="BC121" s="16"/>
      <c r="BD121" s="16"/>
      <c r="BE121" s="16"/>
      <c r="BF121" s="16"/>
    </row>
    <row r="122" ht="60.0" customHeight="1">
      <c r="A122" s="26" t="s">
        <v>2026</v>
      </c>
      <c r="B122" s="26"/>
      <c r="C122" s="20" t="s">
        <v>47</v>
      </c>
      <c r="D122" s="21" t="s">
        <v>213</v>
      </c>
      <c r="E122" s="24" t="s">
        <v>2063</v>
      </c>
      <c r="F122" s="20" t="s">
        <v>2130</v>
      </c>
      <c r="G122" s="20" t="s">
        <v>1853</v>
      </c>
      <c r="H122" s="23">
        <v>43998.0</v>
      </c>
      <c r="I122" s="23">
        <f>'17025 SAL'!$H122+$AN$1</f>
        <v>45458</v>
      </c>
      <c r="J122" s="23">
        <v>42905.0</v>
      </c>
      <c r="K122" s="20"/>
      <c r="L122" s="20" t="s">
        <v>2131</v>
      </c>
      <c r="M122" s="24" t="s">
        <v>2132</v>
      </c>
      <c r="N122" s="49"/>
      <c r="O122" s="20" t="s">
        <v>2133</v>
      </c>
      <c r="P122" s="20" t="s">
        <v>2134</v>
      </c>
      <c r="Q122" s="20" t="s">
        <v>2135</v>
      </c>
      <c r="R122" s="20" t="s">
        <v>2136</v>
      </c>
      <c r="S122" s="20" t="s">
        <v>979</v>
      </c>
      <c r="T122" s="20">
        <v>3.101262062E9</v>
      </c>
      <c r="U122" s="34" t="s">
        <v>2137</v>
      </c>
      <c r="V122" s="20" t="s">
        <v>2138</v>
      </c>
      <c r="W122" s="20">
        <v>1.13470884E8</v>
      </c>
      <c r="X122" s="20" t="s">
        <v>2139</v>
      </c>
      <c r="Y122" s="53" t="s">
        <v>85</v>
      </c>
      <c r="Z122" s="20" t="s">
        <v>2140</v>
      </c>
      <c r="AA122" s="20" t="s">
        <v>2036</v>
      </c>
      <c r="AB122" s="20"/>
      <c r="AC122" s="20" t="s">
        <v>1055</v>
      </c>
      <c r="AD122" s="20" t="s">
        <v>2037</v>
      </c>
      <c r="AE122" s="20" t="s">
        <v>2038</v>
      </c>
      <c r="AF122" s="20" t="s">
        <v>2141</v>
      </c>
      <c r="AG122" s="20" t="s">
        <v>2036</v>
      </c>
      <c r="AH122" s="20" t="s">
        <v>2142</v>
      </c>
      <c r="AI122" s="49" t="s">
        <v>2143</v>
      </c>
      <c r="AJ122" s="20" t="s">
        <v>2144</v>
      </c>
      <c r="AK122" s="26" t="s">
        <v>2026</v>
      </c>
      <c r="AL122" s="20"/>
      <c r="AM122" s="16"/>
      <c r="AN122" s="16"/>
      <c r="AO122" s="16"/>
      <c r="AP122" s="16"/>
      <c r="AQ122" s="16"/>
      <c r="AR122" s="16"/>
      <c r="AS122" s="16"/>
      <c r="AT122" s="16"/>
      <c r="AU122" s="16"/>
      <c r="AV122" s="16"/>
      <c r="AW122" s="16"/>
      <c r="AX122" s="16"/>
      <c r="AY122" s="16"/>
      <c r="AZ122" s="16"/>
      <c r="BA122" s="16"/>
      <c r="BB122" s="16"/>
      <c r="BC122" s="16"/>
      <c r="BD122" s="16"/>
      <c r="BE122" s="16"/>
      <c r="BF122" s="16"/>
    </row>
    <row r="123" ht="60.0" customHeight="1">
      <c r="A123" s="26" t="s">
        <v>2145</v>
      </c>
      <c r="B123" s="26"/>
      <c r="C123" s="20" t="s">
        <v>47</v>
      </c>
      <c r="D123" s="21" t="s">
        <v>48</v>
      </c>
      <c r="E123" s="24" t="s">
        <v>2063</v>
      </c>
      <c r="F123" s="20" t="s">
        <v>2146</v>
      </c>
      <c r="G123" s="20" t="s">
        <v>2147</v>
      </c>
      <c r="H123" s="23">
        <v>45394.0</v>
      </c>
      <c r="I123" s="23">
        <f>'17025 SAL'!$H123+$AN$1</f>
        <v>46854</v>
      </c>
      <c r="J123" s="23">
        <v>42997.0</v>
      </c>
      <c r="K123" s="20" t="s">
        <v>2148</v>
      </c>
      <c r="L123" s="20" t="s">
        <v>2149</v>
      </c>
      <c r="M123" s="24" t="s">
        <v>2150</v>
      </c>
      <c r="N123" s="34" t="s">
        <v>2151</v>
      </c>
      <c r="O123" s="20" t="s">
        <v>2152</v>
      </c>
      <c r="P123" s="20" t="s">
        <v>324</v>
      </c>
      <c r="Q123" s="20" t="s">
        <v>55</v>
      </c>
      <c r="R123" s="20" t="s">
        <v>2153</v>
      </c>
      <c r="S123" s="20" t="s">
        <v>979</v>
      </c>
      <c r="T123" s="20" t="s">
        <v>2154</v>
      </c>
      <c r="U123" s="34" t="s">
        <v>324</v>
      </c>
      <c r="V123" s="20" t="s">
        <v>2155</v>
      </c>
      <c r="W123" s="20" t="s">
        <v>2156</v>
      </c>
      <c r="X123" s="20" t="s">
        <v>2157</v>
      </c>
      <c r="Y123" s="53" t="s">
        <v>264</v>
      </c>
      <c r="Z123" s="20" t="s">
        <v>411</v>
      </c>
      <c r="AA123" s="20" t="s">
        <v>2153</v>
      </c>
      <c r="AB123" s="20"/>
      <c r="AC123" s="20" t="s">
        <v>285</v>
      </c>
      <c r="AD123" s="20"/>
      <c r="AE123" s="20" t="s">
        <v>2158</v>
      </c>
      <c r="AF123" s="20" t="s">
        <v>2159</v>
      </c>
      <c r="AG123" s="20" t="s">
        <v>2153</v>
      </c>
      <c r="AH123" s="20"/>
      <c r="AI123" s="20"/>
      <c r="AJ123" s="20"/>
      <c r="AK123" s="26" t="s">
        <v>2145</v>
      </c>
      <c r="AL123" s="20" t="s">
        <v>2160</v>
      </c>
      <c r="AM123" s="29"/>
      <c r="AN123" s="29"/>
      <c r="AO123" s="29"/>
      <c r="AP123" s="29"/>
      <c r="AQ123" s="29"/>
      <c r="AR123" s="29"/>
      <c r="AS123" s="29"/>
      <c r="AT123" s="29"/>
      <c r="AU123" s="29"/>
      <c r="AV123" s="29"/>
      <c r="AW123" s="29"/>
      <c r="AX123" s="29"/>
      <c r="AY123" s="29"/>
      <c r="AZ123" s="29"/>
      <c r="BA123" s="29"/>
      <c r="BB123" s="29"/>
      <c r="BC123" s="29"/>
      <c r="BD123" s="29"/>
      <c r="BE123" s="29"/>
      <c r="BF123" s="29"/>
    </row>
    <row r="124" ht="60.0" customHeight="1">
      <c r="A124" s="26" t="s">
        <v>2161</v>
      </c>
      <c r="B124" s="24"/>
      <c r="C124" s="24" t="s">
        <v>47</v>
      </c>
      <c r="D124" s="21" t="s">
        <v>213</v>
      </c>
      <c r="E124" s="24" t="s">
        <v>49</v>
      </c>
      <c r="F124" s="24" t="s">
        <v>2162</v>
      </c>
      <c r="G124" s="26" t="s">
        <v>2163</v>
      </c>
      <c r="H124" s="24"/>
      <c r="I124" s="54">
        <f>'17025 SAL'!$H124+$AN$1</f>
        <v>1460</v>
      </c>
      <c r="J124" s="54">
        <v>43208.0</v>
      </c>
      <c r="K124" s="24"/>
      <c r="L124" s="24" t="s">
        <v>2164</v>
      </c>
      <c r="M124" s="24" t="s">
        <v>2165</v>
      </c>
      <c r="N124" s="24" t="s">
        <v>2166</v>
      </c>
      <c r="O124" s="24" t="s">
        <v>2167</v>
      </c>
      <c r="P124" s="24" t="s">
        <v>2168</v>
      </c>
      <c r="Q124" s="24" t="s">
        <v>55</v>
      </c>
      <c r="R124" s="24" t="s">
        <v>2169</v>
      </c>
      <c r="S124" s="24" t="s">
        <v>104</v>
      </c>
      <c r="T124" s="24" t="s">
        <v>2170</v>
      </c>
      <c r="U124" s="24" t="s">
        <v>324</v>
      </c>
      <c r="V124" s="24" t="s">
        <v>2164</v>
      </c>
      <c r="W124" s="24">
        <v>5.02300652E8</v>
      </c>
      <c r="X124" s="24" t="s">
        <v>2171</v>
      </c>
      <c r="Y124" s="24" t="s">
        <v>264</v>
      </c>
      <c r="Z124" s="24" t="s">
        <v>2022</v>
      </c>
      <c r="AA124" s="24" t="s">
        <v>2172</v>
      </c>
      <c r="AB124" s="24"/>
      <c r="AC124" s="24" t="s">
        <v>2173</v>
      </c>
      <c r="AD124" s="24" t="s">
        <v>2164</v>
      </c>
      <c r="AE124" s="24" t="s">
        <v>2174</v>
      </c>
      <c r="AF124" s="24" t="s">
        <v>2175</v>
      </c>
      <c r="AG124" s="24" t="s">
        <v>2172</v>
      </c>
      <c r="AH124" s="24" t="s">
        <v>2175</v>
      </c>
      <c r="AI124" s="24" t="s">
        <v>2166</v>
      </c>
      <c r="AJ124" s="24" t="s">
        <v>2176</v>
      </c>
      <c r="AK124" s="26" t="s">
        <v>2161</v>
      </c>
      <c r="AL124" s="24" t="s">
        <v>2177</v>
      </c>
      <c r="AM124" s="29"/>
      <c r="AN124" s="29"/>
      <c r="AO124" s="29"/>
      <c r="AP124" s="29"/>
      <c r="AQ124" s="29"/>
      <c r="AR124" s="29"/>
      <c r="AS124" s="29"/>
      <c r="AT124" s="29"/>
      <c r="AU124" s="29"/>
      <c r="AV124" s="29"/>
      <c r="AW124" s="29"/>
      <c r="AX124" s="29"/>
      <c r="AY124" s="29"/>
      <c r="AZ124" s="29"/>
      <c r="BA124" s="29"/>
      <c r="BB124" s="29"/>
      <c r="BC124" s="29"/>
      <c r="BD124" s="29"/>
      <c r="BE124" s="29"/>
      <c r="BF124" s="29"/>
    </row>
    <row r="125" ht="60.0" customHeight="1">
      <c r="A125" s="26" t="s">
        <v>2178</v>
      </c>
      <c r="B125" s="26" t="s">
        <v>2179</v>
      </c>
      <c r="C125" s="20" t="s">
        <v>231</v>
      </c>
      <c r="D125" s="21" t="s">
        <v>48</v>
      </c>
      <c r="E125" s="26" t="s">
        <v>2063</v>
      </c>
      <c r="F125" s="20" t="s">
        <v>2180</v>
      </c>
      <c r="G125" s="20" t="s">
        <v>2181</v>
      </c>
      <c r="H125" s="23">
        <v>43914.0</v>
      </c>
      <c r="I125" s="23">
        <f>'17025 SAL'!$H125+$AN$1</f>
        <v>45374</v>
      </c>
      <c r="J125" s="23">
        <v>43182.0</v>
      </c>
      <c r="K125" s="20"/>
      <c r="L125" s="26" t="s">
        <v>2182</v>
      </c>
      <c r="M125" s="24" t="s">
        <v>2183</v>
      </c>
      <c r="N125" s="81" t="s">
        <v>2184</v>
      </c>
      <c r="O125" s="26" t="s">
        <v>2185</v>
      </c>
      <c r="P125" s="26" t="s">
        <v>2186</v>
      </c>
      <c r="Q125" s="20" t="s">
        <v>55</v>
      </c>
      <c r="R125" s="26" t="s">
        <v>2187</v>
      </c>
      <c r="S125" s="20" t="s">
        <v>2188</v>
      </c>
      <c r="T125" s="26" t="s">
        <v>2189</v>
      </c>
      <c r="U125" s="26" t="s">
        <v>2190</v>
      </c>
      <c r="V125" s="26" t="s">
        <v>2191</v>
      </c>
      <c r="W125" s="26" t="s">
        <v>2192</v>
      </c>
      <c r="X125" s="20" t="s">
        <v>2193</v>
      </c>
      <c r="Y125" s="53" t="s">
        <v>63</v>
      </c>
      <c r="Z125" s="26" t="s">
        <v>2194</v>
      </c>
      <c r="AA125" s="26" t="s">
        <v>2187</v>
      </c>
      <c r="AB125" s="26"/>
      <c r="AC125" s="26" t="s">
        <v>2195</v>
      </c>
      <c r="AD125" s="20"/>
      <c r="AE125" s="26" t="s">
        <v>2196</v>
      </c>
      <c r="AF125" s="26" t="s">
        <v>2185</v>
      </c>
      <c r="AG125" s="26" t="s">
        <v>2187</v>
      </c>
      <c r="AH125" s="20" t="s">
        <v>2186</v>
      </c>
      <c r="AI125" s="49" t="s">
        <v>2197</v>
      </c>
      <c r="AJ125" s="20"/>
      <c r="AK125" s="26"/>
      <c r="AL125" s="20"/>
      <c r="AM125" s="16"/>
      <c r="AN125" s="16"/>
      <c r="AO125" s="16"/>
      <c r="AP125" s="16"/>
      <c r="AQ125" s="16"/>
      <c r="AR125" s="16"/>
      <c r="AS125" s="16"/>
      <c r="AT125" s="16"/>
      <c r="AU125" s="16"/>
      <c r="AV125" s="16"/>
      <c r="AW125" s="16"/>
      <c r="AX125" s="16"/>
      <c r="AY125" s="16"/>
      <c r="AZ125" s="16"/>
      <c r="BA125" s="16"/>
      <c r="BB125" s="16"/>
      <c r="BC125" s="16"/>
      <c r="BD125" s="16"/>
      <c r="BE125" s="16"/>
      <c r="BF125" s="16"/>
    </row>
    <row r="126" ht="60.0" customHeight="1">
      <c r="A126" s="26" t="s">
        <v>2198</v>
      </c>
      <c r="B126" s="26" t="s">
        <v>2199</v>
      </c>
      <c r="C126" s="20" t="s">
        <v>231</v>
      </c>
      <c r="D126" s="21" t="s">
        <v>48</v>
      </c>
      <c r="E126" s="24" t="s">
        <v>2063</v>
      </c>
      <c r="F126" s="20" t="s">
        <v>2200</v>
      </c>
      <c r="G126" s="20" t="s">
        <v>2201</v>
      </c>
      <c r="H126" s="23">
        <v>45096.0</v>
      </c>
      <c r="I126" s="23">
        <f>'17025 SAL'!$H126+$AN$1</f>
        <v>46556</v>
      </c>
      <c r="J126" s="23">
        <v>43115.0</v>
      </c>
      <c r="K126" s="20"/>
      <c r="L126" s="20" t="s">
        <v>2202</v>
      </c>
      <c r="M126" s="24" t="s">
        <v>2203</v>
      </c>
      <c r="N126" s="24" t="s">
        <v>2204</v>
      </c>
      <c r="O126" s="20" t="s">
        <v>2205</v>
      </c>
      <c r="P126" s="20" t="s">
        <v>324</v>
      </c>
      <c r="Q126" s="20" t="s">
        <v>55</v>
      </c>
      <c r="R126" s="26" t="s">
        <v>2206</v>
      </c>
      <c r="S126" s="20" t="s">
        <v>57</v>
      </c>
      <c r="T126" s="20" t="s">
        <v>2207</v>
      </c>
      <c r="U126" s="34" t="s">
        <v>2208</v>
      </c>
      <c r="V126" s="20" t="s">
        <v>2209</v>
      </c>
      <c r="W126" s="20" t="s">
        <v>2210</v>
      </c>
      <c r="X126" s="20" t="s">
        <v>1547</v>
      </c>
      <c r="Y126" s="53" t="s">
        <v>63</v>
      </c>
      <c r="Z126" s="20" t="s">
        <v>2211</v>
      </c>
      <c r="AA126" s="26" t="s">
        <v>2212</v>
      </c>
      <c r="AB126" s="26"/>
      <c r="AC126" s="20" t="s">
        <v>2213</v>
      </c>
      <c r="AD126" s="20"/>
      <c r="AE126" s="20" t="s">
        <v>2214</v>
      </c>
      <c r="AF126" s="20" t="s">
        <v>2215</v>
      </c>
      <c r="AG126" s="26" t="s">
        <v>2206</v>
      </c>
      <c r="AH126" s="20"/>
      <c r="AI126" s="20"/>
      <c r="AJ126" s="20"/>
      <c r="AK126" s="26"/>
      <c r="AL126" s="20"/>
      <c r="AM126" s="29"/>
      <c r="AN126" s="29"/>
      <c r="AO126" s="29"/>
      <c r="AP126" s="29"/>
      <c r="AQ126" s="29"/>
      <c r="AR126" s="29"/>
      <c r="AS126" s="29"/>
      <c r="AT126" s="29"/>
      <c r="AU126" s="29"/>
      <c r="AV126" s="29"/>
      <c r="AW126" s="29"/>
      <c r="AX126" s="29"/>
      <c r="AY126" s="29"/>
      <c r="AZ126" s="29"/>
      <c r="BA126" s="29"/>
      <c r="BB126" s="29"/>
      <c r="BC126" s="29"/>
      <c r="BD126" s="29"/>
      <c r="BE126" s="29"/>
      <c r="BF126" s="29"/>
    </row>
    <row r="127" ht="60.0" customHeight="1">
      <c r="A127" s="26" t="s">
        <v>2216</v>
      </c>
      <c r="B127" s="26"/>
      <c r="C127" s="20" t="s">
        <v>47</v>
      </c>
      <c r="D127" s="21" t="s">
        <v>48</v>
      </c>
      <c r="E127" s="20" t="s">
        <v>2217</v>
      </c>
      <c r="F127" s="20" t="s">
        <v>2218</v>
      </c>
      <c r="G127" s="20" t="s">
        <v>2219</v>
      </c>
      <c r="H127" s="23">
        <v>45859.0</v>
      </c>
      <c r="I127" s="23" t="s">
        <v>76</v>
      </c>
      <c r="J127" s="23">
        <v>43235.0</v>
      </c>
      <c r="K127" s="20"/>
      <c r="L127" s="20" t="s">
        <v>2220</v>
      </c>
      <c r="M127" s="24" t="s">
        <v>2221</v>
      </c>
      <c r="N127" s="24" t="s">
        <v>2222</v>
      </c>
      <c r="O127" s="20" t="s">
        <v>2223</v>
      </c>
      <c r="P127" s="20" t="s">
        <v>2224</v>
      </c>
      <c r="Q127" s="20" t="s">
        <v>55</v>
      </c>
      <c r="R127" s="20" t="s">
        <v>2225</v>
      </c>
      <c r="S127" s="20" t="s">
        <v>57</v>
      </c>
      <c r="T127" s="20" t="s">
        <v>2226</v>
      </c>
      <c r="U127" s="20" t="s">
        <v>324</v>
      </c>
      <c r="V127" s="20" t="s">
        <v>2227</v>
      </c>
      <c r="W127" s="20" t="s">
        <v>2228</v>
      </c>
      <c r="X127" s="20"/>
      <c r="Y127" s="20" t="s">
        <v>63</v>
      </c>
      <c r="Z127" s="20"/>
      <c r="AA127" s="20" t="s">
        <v>2225</v>
      </c>
      <c r="AB127" s="20"/>
      <c r="AC127" s="20" t="s">
        <v>2229</v>
      </c>
      <c r="AD127" s="20" t="s">
        <v>2230</v>
      </c>
      <c r="AE127" s="26" t="s">
        <v>2231</v>
      </c>
      <c r="AF127" s="24" t="s">
        <v>2223</v>
      </c>
      <c r="AG127" s="20" t="s">
        <v>2225</v>
      </c>
      <c r="AH127" s="20"/>
      <c r="AI127" s="20" t="s">
        <v>2232</v>
      </c>
      <c r="AJ127" s="20"/>
      <c r="AK127" s="20" t="s">
        <v>2216</v>
      </c>
      <c r="AL127" s="20"/>
      <c r="AM127" s="16"/>
      <c r="AN127" s="16"/>
      <c r="AO127" s="16"/>
      <c r="AP127" s="16"/>
      <c r="AQ127" s="16"/>
      <c r="AR127" s="16"/>
      <c r="AS127" s="16"/>
      <c r="AT127" s="16"/>
      <c r="AU127" s="16"/>
      <c r="AV127" s="16"/>
      <c r="AW127" s="16"/>
      <c r="AX127" s="16"/>
      <c r="AY127" s="16"/>
      <c r="AZ127" s="16"/>
      <c r="BA127" s="16"/>
      <c r="BB127" s="16"/>
      <c r="BC127" s="16"/>
      <c r="BD127" s="16"/>
      <c r="BE127" s="16"/>
      <c r="BF127" s="16"/>
    </row>
    <row r="128" ht="60.0" customHeight="1">
      <c r="A128" s="26" t="s">
        <v>2233</v>
      </c>
      <c r="B128" s="26"/>
      <c r="C128" s="20" t="s">
        <v>47</v>
      </c>
      <c r="D128" s="21" t="s">
        <v>48</v>
      </c>
      <c r="E128" s="20" t="s">
        <v>2063</v>
      </c>
      <c r="F128" s="20" t="s">
        <v>2234</v>
      </c>
      <c r="G128" s="20" t="s">
        <v>2235</v>
      </c>
      <c r="H128" s="23">
        <v>45891.0</v>
      </c>
      <c r="I128" s="23" t="s">
        <v>76</v>
      </c>
      <c r="J128" s="23">
        <v>43728.0</v>
      </c>
      <c r="K128" s="20"/>
      <c r="L128" s="20" t="s">
        <v>2236</v>
      </c>
      <c r="M128" s="24" t="s">
        <v>2237</v>
      </c>
      <c r="N128" s="24" t="s">
        <v>2238</v>
      </c>
      <c r="O128" s="20" t="s">
        <v>2239</v>
      </c>
      <c r="P128" s="20" t="s">
        <v>324</v>
      </c>
      <c r="Q128" s="20" t="s">
        <v>55</v>
      </c>
      <c r="R128" s="20" t="s">
        <v>2240</v>
      </c>
      <c r="S128" s="20" t="s">
        <v>104</v>
      </c>
      <c r="T128" s="20" t="s">
        <v>2241</v>
      </c>
      <c r="U128" s="20"/>
      <c r="V128" s="20" t="s">
        <v>2242</v>
      </c>
      <c r="W128" s="20" t="s">
        <v>2243</v>
      </c>
      <c r="X128" s="20" t="s">
        <v>1899</v>
      </c>
      <c r="Y128" s="20" t="s">
        <v>63</v>
      </c>
      <c r="Z128" s="20" t="s">
        <v>793</v>
      </c>
      <c r="AA128" s="20" t="s">
        <v>2240</v>
      </c>
      <c r="AB128" s="20"/>
      <c r="AC128" s="20" t="s">
        <v>2244</v>
      </c>
      <c r="AD128" s="20"/>
      <c r="AE128" s="26" t="s">
        <v>2245</v>
      </c>
      <c r="AF128" s="24" t="s">
        <v>2246</v>
      </c>
      <c r="AG128" s="20" t="s">
        <v>2240</v>
      </c>
      <c r="AH128" s="20" t="s">
        <v>324</v>
      </c>
      <c r="AI128" s="20"/>
      <c r="AJ128" s="20"/>
      <c r="AK128" s="20"/>
      <c r="AL128" s="20"/>
      <c r="AM128" s="29"/>
      <c r="AN128" s="29"/>
      <c r="AO128" s="29"/>
      <c r="AP128" s="29"/>
      <c r="AQ128" s="29"/>
      <c r="AR128" s="29"/>
      <c r="AS128" s="29"/>
      <c r="AT128" s="29"/>
      <c r="AU128" s="29"/>
      <c r="AV128" s="29"/>
      <c r="AW128" s="29"/>
      <c r="AX128" s="29"/>
      <c r="AY128" s="29"/>
      <c r="AZ128" s="29"/>
      <c r="BA128" s="29"/>
      <c r="BB128" s="29"/>
      <c r="BC128" s="29"/>
      <c r="BD128" s="29"/>
      <c r="BE128" s="29"/>
      <c r="BF128" s="29"/>
    </row>
    <row r="129" ht="60.0" customHeight="1">
      <c r="A129" s="47" t="s">
        <v>2247</v>
      </c>
      <c r="B129" s="47"/>
      <c r="C129" s="20" t="s">
        <v>47</v>
      </c>
      <c r="D129" s="21" t="s">
        <v>48</v>
      </c>
      <c r="E129" s="20" t="s">
        <v>2063</v>
      </c>
      <c r="F129" s="20" t="s">
        <v>2248</v>
      </c>
      <c r="G129" s="20" t="s">
        <v>1924</v>
      </c>
      <c r="H129" s="23">
        <v>43838.0</v>
      </c>
      <c r="I129" s="23">
        <f>'17025 SAL'!$H129+$AN$1</f>
        <v>45298</v>
      </c>
      <c r="J129" s="23">
        <v>43182.0</v>
      </c>
      <c r="K129" s="20"/>
      <c r="L129" s="20" t="s">
        <v>2249</v>
      </c>
      <c r="M129" s="64" t="s">
        <v>2250</v>
      </c>
      <c r="N129" s="34"/>
      <c r="O129" s="20" t="s">
        <v>2251</v>
      </c>
      <c r="P129" s="20" t="s">
        <v>324</v>
      </c>
      <c r="Q129" s="20" t="s">
        <v>55</v>
      </c>
      <c r="R129" s="20" t="s">
        <v>2252</v>
      </c>
      <c r="S129" s="20" t="s">
        <v>57</v>
      </c>
      <c r="T129" s="20" t="s">
        <v>2253</v>
      </c>
      <c r="U129" s="20"/>
      <c r="V129" s="20" t="s">
        <v>2254</v>
      </c>
      <c r="W129" s="47" t="s">
        <v>2255</v>
      </c>
      <c r="X129" s="20" t="s">
        <v>2256</v>
      </c>
      <c r="Y129" s="20" t="s">
        <v>85</v>
      </c>
      <c r="Z129" s="20" t="s">
        <v>411</v>
      </c>
      <c r="AA129" s="20" t="s">
        <v>2252</v>
      </c>
      <c r="AB129" s="38" t="s">
        <v>2257</v>
      </c>
      <c r="AC129" s="20" t="s">
        <v>285</v>
      </c>
      <c r="AD129" s="20"/>
      <c r="AE129" s="53" t="s">
        <v>2258</v>
      </c>
      <c r="AF129" s="20" t="s">
        <v>2251</v>
      </c>
      <c r="AG129" s="20" t="s">
        <v>2252</v>
      </c>
      <c r="AH129" s="20" t="s">
        <v>324</v>
      </c>
      <c r="AI129" s="20"/>
      <c r="AJ129" s="20"/>
      <c r="AK129" s="20"/>
      <c r="AL129" s="20" t="s">
        <v>2259</v>
      </c>
      <c r="AM129" s="29"/>
      <c r="AN129" s="29"/>
      <c r="AO129" s="29"/>
      <c r="AP129" s="29"/>
      <c r="AQ129" s="29"/>
      <c r="AR129" s="29"/>
      <c r="AS129" s="29"/>
      <c r="AT129" s="29"/>
      <c r="AU129" s="29"/>
      <c r="AV129" s="29"/>
      <c r="AW129" s="29"/>
      <c r="AX129" s="29"/>
      <c r="AY129" s="29"/>
      <c r="AZ129" s="29"/>
      <c r="BA129" s="29"/>
      <c r="BB129" s="29"/>
      <c r="BC129" s="29"/>
      <c r="BD129" s="29"/>
      <c r="BE129" s="29"/>
      <c r="BF129" s="29"/>
    </row>
    <row r="130" ht="60.0" customHeight="1">
      <c r="A130" s="26" t="s">
        <v>2260</v>
      </c>
      <c r="B130" s="26" t="s">
        <v>2261</v>
      </c>
      <c r="C130" s="20" t="s">
        <v>47</v>
      </c>
      <c r="D130" s="21" t="s">
        <v>48</v>
      </c>
      <c r="E130" s="20" t="s">
        <v>49</v>
      </c>
      <c r="F130" s="20" t="s">
        <v>2262</v>
      </c>
      <c r="G130" s="20" t="s">
        <v>2064</v>
      </c>
      <c r="H130" s="23">
        <v>43942.0</v>
      </c>
      <c r="I130" s="23">
        <f>'17025 SAL'!$H130+$AN$1</f>
        <v>45402</v>
      </c>
      <c r="J130" s="23">
        <v>43514.0</v>
      </c>
      <c r="K130" s="20"/>
      <c r="L130" s="20" t="s">
        <v>2263</v>
      </c>
      <c r="M130" s="26" t="s">
        <v>2264</v>
      </c>
      <c r="N130" s="34"/>
      <c r="O130" s="20" t="s">
        <v>2265</v>
      </c>
      <c r="P130" s="20" t="s">
        <v>324</v>
      </c>
      <c r="Q130" s="20" t="s">
        <v>55</v>
      </c>
      <c r="R130" s="20" t="s">
        <v>2266</v>
      </c>
      <c r="S130" s="20" t="s">
        <v>979</v>
      </c>
      <c r="T130" s="20" t="s">
        <v>2267</v>
      </c>
      <c r="U130" s="20"/>
      <c r="V130" s="20" t="s">
        <v>2268</v>
      </c>
      <c r="W130" s="20" t="s">
        <v>2269</v>
      </c>
      <c r="X130" s="20"/>
      <c r="Y130" s="20" t="s">
        <v>63</v>
      </c>
      <c r="Z130" s="20" t="s">
        <v>2270</v>
      </c>
      <c r="AA130" s="20" t="s">
        <v>2266</v>
      </c>
      <c r="AB130" s="20"/>
      <c r="AC130" s="20" t="s">
        <v>2271</v>
      </c>
      <c r="AD130" s="20"/>
      <c r="AE130" s="26" t="s">
        <v>2272</v>
      </c>
      <c r="AF130" s="24" t="s">
        <v>2273</v>
      </c>
      <c r="AG130" s="20" t="s">
        <v>2266</v>
      </c>
      <c r="AH130" s="20"/>
      <c r="AI130" s="20"/>
      <c r="AJ130" s="20"/>
      <c r="AK130" s="20"/>
      <c r="AL130" s="20"/>
      <c r="AM130" s="29"/>
      <c r="AN130" s="29"/>
      <c r="AO130" s="29"/>
      <c r="AP130" s="29"/>
      <c r="AQ130" s="29"/>
      <c r="AR130" s="29"/>
      <c r="AS130" s="29"/>
      <c r="AT130" s="29"/>
      <c r="AU130" s="29"/>
      <c r="AV130" s="29"/>
      <c r="AW130" s="29"/>
      <c r="AX130" s="29"/>
      <c r="AY130" s="29"/>
      <c r="AZ130" s="29"/>
      <c r="BA130" s="29"/>
      <c r="BB130" s="29"/>
      <c r="BC130" s="29"/>
      <c r="BD130" s="29"/>
      <c r="BE130" s="29"/>
      <c r="BF130" s="29"/>
    </row>
    <row r="131" ht="60.0" customHeight="1">
      <c r="A131" s="26" t="s">
        <v>2274</v>
      </c>
      <c r="B131" s="26" t="s">
        <v>2275</v>
      </c>
      <c r="C131" s="20" t="s">
        <v>47</v>
      </c>
      <c r="D131" s="21" t="s">
        <v>48</v>
      </c>
      <c r="E131" s="20" t="s">
        <v>49</v>
      </c>
      <c r="F131" s="20" t="s">
        <v>2276</v>
      </c>
      <c r="G131" s="20" t="s">
        <v>2277</v>
      </c>
      <c r="H131" s="23">
        <v>45414.0</v>
      </c>
      <c r="I131" s="23">
        <f>'17025 SAL'!$H131+$AN$1</f>
        <v>46874</v>
      </c>
      <c r="J131" s="23">
        <v>43453.0</v>
      </c>
      <c r="K131" s="20"/>
      <c r="L131" s="47" t="s">
        <v>2278</v>
      </c>
      <c r="M131" s="24" t="s">
        <v>2279</v>
      </c>
      <c r="N131" s="34" t="s">
        <v>2280</v>
      </c>
      <c r="O131" s="20" t="s">
        <v>2281</v>
      </c>
      <c r="P131" s="20" t="s">
        <v>2282</v>
      </c>
      <c r="Q131" s="20" t="s">
        <v>2283</v>
      </c>
      <c r="R131" s="20" t="s">
        <v>2284</v>
      </c>
      <c r="S131" s="20" t="s">
        <v>2285</v>
      </c>
      <c r="T131" s="20" t="s">
        <v>2286</v>
      </c>
      <c r="U131" s="34" t="s">
        <v>2287</v>
      </c>
      <c r="V131" s="20" t="s">
        <v>2288</v>
      </c>
      <c r="W131" s="62">
        <v>8.0104706423E11</v>
      </c>
      <c r="X131" s="20" t="s">
        <v>529</v>
      </c>
      <c r="Y131" s="20" t="s">
        <v>2289</v>
      </c>
      <c r="Z131" s="20" t="s">
        <v>2290</v>
      </c>
      <c r="AA131" s="20" t="s">
        <v>2284</v>
      </c>
      <c r="AB131" s="20"/>
      <c r="AC131" s="20" t="s">
        <v>2291</v>
      </c>
      <c r="AD131" s="26" t="s">
        <v>2292</v>
      </c>
      <c r="AE131" s="26"/>
      <c r="AF131" s="20" t="s">
        <v>2281</v>
      </c>
      <c r="AG131" s="20" t="s">
        <v>2284</v>
      </c>
      <c r="AH131" s="20" t="s">
        <v>2282</v>
      </c>
      <c r="AI131" s="24"/>
      <c r="AJ131" s="20"/>
      <c r="AK131" s="26" t="s">
        <v>2292</v>
      </c>
      <c r="AL131" s="20"/>
      <c r="AM131" s="29"/>
      <c r="AN131" s="29"/>
      <c r="AO131" s="29"/>
      <c r="AP131" s="29"/>
      <c r="AQ131" s="29"/>
      <c r="AR131" s="29"/>
      <c r="AS131" s="29"/>
      <c r="AT131" s="29"/>
      <c r="AU131" s="29"/>
      <c r="AV131" s="29"/>
      <c r="AW131" s="29"/>
      <c r="AX131" s="29"/>
      <c r="AY131" s="29"/>
      <c r="AZ131" s="29"/>
      <c r="BA131" s="29"/>
      <c r="BB131" s="29"/>
      <c r="BC131" s="29"/>
      <c r="BD131" s="29"/>
      <c r="BE131" s="29"/>
      <c r="BF131" s="29"/>
    </row>
    <row r="132" ht="60.0" customHeight="1">
      <c r="A132" s="24" t="s">
        <v>2293</v>
      </c>
      <c r="B132" s="26" t="s">
        <v>2294</v>
      </c>
      <c r="C132" s="24" t="s">
        <v>47</v>
      </c>
      <c r="D132" s="21" t="s">
        <v>48</v>
      </c>
      <c r="E132" s="24" t="s">
        <v>2063</v>
      </c>
      <c r="F132" s="24" t="s">
        <v>2295</v>
      </c>
      <c r="G132" s="24" t="s">
        <v>1985</v>
      </c>
      <c r="H132" s="54">
        <v>45396.0</v>
      </c>
      <c r="I132" s="23">
        <f>'17025 SAL'!$H132+$AN$1</f>
        <v>46856</v>
      </c>
      <c r="J132" s="23">
        <v>43403.0</v>
      </c>
      <c r="K132" s="24"/>
      <c r="L132" s="24" t="s">
        <v>2296</v>
      </c>
      <c r="M132" s="24" t="s">
        <v>2297</v>
      </c>
      <c r="N132" s="31" t="s">
        <v>2298</v>
      </c>
      <c r="O132" s="24" t="s">
        <v>2299</v>
      </c>
      <c r="P132" s="24" t="s">
        <v>2300</v>
      </c>
      <c r="Q132" s="24" t="s">
        <v>2135</v>
      </c>
      <c r="R132" s="24" t="s">
        <v>2301</v>
      </c>
      <c r="S132" s="24" t="s">
        <v>2302</v>
      </c>
      <c r="T132" s="24" t="s">
        <v>2303</v>
      </c>
      <c r="U132" s="55" t="s">
        <v>2304</v>
      </c>
      <c r="V132" s="24" t="s">
        <v>2305</v>
      </c>
      <c r="W132" s="24"/>
      <c r="X132" s="24"/>
      <c r="Y132" s="24"/>
      <c r="Z132" s="24"/>
      <c r="AA132" s="26" t="s">
        <v>2306</v>
      </c>
      <c r="AB132" s="24"/>
      <c r="AC132" s="24" t="s">
        <v>2229</v>
      </c>
      <c r="AD132" s="24" t="s">
        <v>2307</v>
      </c>
      <c r="AE132" s="24" t="s">
        <v>2308</v>
      </c>
      <c r="AF132" s="24" t="s">
        <v>2299</v>
      </c>
      <c r="AG132" s="24" t="s">
        <v>2306</v>
      </c>
      <c r="AH132" s="24" t="s">
        <v>2300</v>
      </c>
      <c r="AI132" s="55" t="s">
        <v>2309</v>
      </c>
      <c r="AJ132" s="24" t="s">
        <v>2310</v>
      </c>
      <c r="AK132" s="24" t="s">
        <v>2293</v>
      </c>
      <c r="AL132" s="24"/>
      <c r="AM132" s="29"/>
      <c r="AN132" s="29"/>
      <c r="AO132" s="29"/>
      <c r="AP132" s="29"/>
      <c r="AQ132" s="29"/>
      <c r="AR132" s="29"/>
      <c r="AS132" s="29"/>
      <c r="AT132" s="29"/>
      <c r="AU132" s="29"/>
      <c r="AV132" s="29"/>
      <c r="AW132" s="29"/>
      <c r="AX132" s="29"/>
      <c r="AY132" s="29"/>
      <c r="AZ132" s="29"/>
      <c r="BA132" s="29"/>
      <c r="BB132" s="29"/>
      <c r="BC132" s="29"/>
      <c r="BD132" s="29"/>
      <c r="BE132" s="29"/>
      <c r="BF132" s="29"/>
    </row>
    <row r="133" ht="60.0" customHeight="1">
      <c r="A133" s="20" t="s">
        <v>2311</v>
      </c>
      <c r="B133" s="26" t="s">
        <v>2312</v>
      </c>
      <c r="C133" s="20" t="s">
        <v>231</v>
      </c>
      <c r="D133" s="21" t="s">
        <v>48</v>
      </c>
      <c r="E133" s="20" t="s">
        <v>2313</v>
      </c>
      <c r="F133" s="20" t="s">
        <v>2314</v>
      </c>
      <c r="G133" s="20" t="s">
        <v>2315</v>
      </c>
      <c r="H133" s="23">
        <v>43494.0</v>
      </c>
      <c r="I133" s="23">
        <f>'17025 SAL'!$H133+$AN$1</f>
        <v>44954</v>
      </c>
      <c r="J133" s="23">
        <v>43453.0</v>
      </c>
      <c r="K133" s="20"/>
      <c r="L133" s="20" t="s">
        <v>2316</v>
      </c>
      <c r="M133" s="31" t="s">
        <v>2317</v>
      </c>
      <c r="N133" s="82"/>
      <c r="O133" s="20" t="s">
        <v>2318</v>
      </c>
      <c r="P133" s="20" t="s">
        <v>2319</v>
      </c>
      <c r="Q133" s="20" t="s">
        <v>55</v>
      </c>
      <c r="R133" s="20" t="s">
        <v>2320</v>
      </c>
      <c r="S133" s="20" t="s">
        <v>121</v>
      </c>
      <c r="T133" s="20" t="s">
        <v>2321</v>
      </c>
      <c r="U133" s="34" t="s">
        <v>2322</v>
      </c>
      <c r="V133" s="20"/>
      <c r="W133" s="20"/>
      <c r="X133" s="20"/>
      <c r="Y133" s="20"/>
      <c r="Z133" s="20"/>
      <c r="AA133" s="20" t="s">
        <v>2320</v>
      </c>
      <c r="AB133" s="20"/>
      <c r="AC133" s="20"/>
      <c r="AD133" s="20" t="s">
        <v>2323</v>
      </c>
      <c r="AE133" s="20" t="s">
        <v>2324</v>
      </c>
      <c r="AF133" s="20" t="s">
        <v>2325</v>
      </c>
      <c r="AG133" s="20" t="s">
        <v>2326</v>
      </c>
      <c r="AH133" s="20" t="s">
        <v>2327</v>
      </c>
      <c r="AI133" s="49" t="s">
        <v>2328</v>
      </c>
      <c r="AJ133" s="20"/>
      <c r="AK133" s="20" t="s">
        <v>2329</v>
      </c>
      <c r="AL133" s="20"/>
      <c r="AM133" s="16"/>
      <c r="AN133" s="16"/>
      <c r="AO133" s="16"/>
      <c r="AP133" s="16"/>
      <c r="AQ133" s="16"/>
      <c r="AR133" s="16"/>
      <c r="AS133" s="16"/>
      <c r="AT133" s="16"/>
      <c r="AU133" s="16"/>
      <c r="AV133" s="16"/>
      <c r="AW133" s="16"/>
      <c r="AX133" s="16"/>
      <c r="AY133" s="16"/>
      <c r="AZ133" s="16"/>
      <c r="BA133" s="16"/>
      <c r="BB133" s="16"/>
      <c r="BC133" s="16"/>
      <c r="BD133" s="16"/>
      <c r="BE133" s="16"/>
      <c r="BF133" s="16"/>
    </row>
    <row r="134" ht="60.0" customHeight="1">
      <c r="A134" s="20" t="s">
        <v>2330</v>
      </c>
      <c r="B134" s="20" t="s">
        <v>2331</v>
      </c>
      <c r="C134" s="20" t="s">
        <v>47</v>
      </c>
      <c r="D134" s="21" t="s">
        <v>48</v>
      </c>
      <c r="E134" s="20" t="s">
        <v>2063</v>
      </c>
      <c r="F134" s="20" t="s">
        <v>2332</v>
      </c>
      <c r="G134" s="20" t="s">
        <v>2083</v>
      </c>
      <c r="H134" s="23">
        <v>45134.0</v>
      </c>
      <c r="I134" s="23">
        <f>'17025 SAL'!$H134+$AN$1</f>
        <v>46594</v>
      </c>
      <c r="J134" s="23">
        <v>43620.0</v>
      </c>
      <c r="K134" s="20"/>
      <c r="L134" s="53" t="s">
        <v>2333</v>
      </c>
      <c r="M134" s="24" t="s">
        <v>2334</v>
      </c>
      <c r="N134" s="24" t="s">
        <v>2335</v>
      </c>
      <c r="O134" s="47" t="s">
        <v>2336</v>
      </c>
      <c r="P134" s="47" t="s">
        <v>2337</v>
      </c>
      <c r="Q134" s="20" t="s">
        <v>55</v>
      </c>
      <c r="R134" s="53" t="s">
        <v>2338</v>
      </c>
      <c r="S134" s="20" t="s">
        <v>2090</v>
      </c>
      <c r="T134" s="47" t="s">
        <v>2339</v>
      </c>
      <c r="U134" s="49" t="s">
        <v>2340</v>
      </c>
      <c r="V134" s="53" t="s">
        <v>2341</v>
      </c>
      <c r="W134" s="47">
        <v>1.09450308E8</v>
      </c>
      <c r="X134" s="20" t="s">
        <v>62</v>
      </c>
      <c r="Y134" s="20" t="s">
        <v>85</v>
      </c>
      <c r="Z134" s="53" t="s">
        <v>2342</v>
      </c>
      <c r="AA134" s="53" t="s">
        <v>2338</v>
      </c>
      <c r="AB134" s="53"/>
      <c r="AC134" s="20" t="s">
        <v>2343</v>
      </c>
      <c r="AD134" s="47" t="s">
        <v>2344</v>
      </c>
      <c r="AE134" s="47" t="s">
        <v>2345</v>
      </c>
      <c r="AF134" s="47" t="s">
        <v>2346</v>
      </c>
      <c r="AG134" s="53" t="s">
        <v>2338</v>
      </c>
      <c r="AH134" s="47" t="s">
        <v>2347</v>
      </c>
      <c r="AI134" s="20" t="s">
        <v>2348</v>
      </c>
      <c r="AJ134" s="53" t="s">
        <v>2349</v>
      </c>
      <c r="AK134" s="47" t="s">
        <v>2345</v>
      </c>
      <c r="AL134" s="20"/>
      <c r="AM134" s="29"/>
      <c r="AN134" s="29"/>
      <c r="AO134" s="29"/>
      <c r="AP134" s="29"/>
      <c r="AQ134" s="29"/>
      <c r="AR134" s="29"/>
      <c r="AS134" s="29"/>
      <c r="AT134" s="29"/>
      <c r="AU134" s="29"/>
      <c r="AV134" s="29"/>
      <c r="AW134" s="29"/>
      <c r="AX134" s="29"/>
      <c r="AY134" s="29"/>
      <c r="AZ134" s="29"/>
      <c r="BA134" s="29"/>
      <c r="BB134" s="29"/>
      <c r="BC134" s="29"/>
      <c r="BD134" s="29"/>
      <c r="BE134" s="29"/>
      <c r="BF134" s="29"/>
    </row>
    <row r="135" ht="60.0" customHeight="1">
      <c r="A135" s="20" t="s">
        <v>2350</v>
      </c>
      <c r="B135" s="20" t="s">
        <v>2351</v>
      </c>
      <c r="C135" s="20" t="s">
        <v>47</v>
      </c>
      <c r="D135" s="21" t="s">
        <v>48</v>
      </c>
      <c r="E135" s="20" t="s">
        <v>2063</v>
      </c>
      <c r="F135" s="20" t="s">
        <v>2352</v>
      </c>
      <c r="G135" s="20" t="s">
        <v>2028</v>
      </c>
      <c r="H135" s="23">
        <v>45882.0</v>
      </c>
      <c r="I135" s="23" t="s">
        <v>76</v>
      </c>
      <c r="J135" s="23">
        <v>43453.0</v>
      </c>
      <c r="K135" s="20"/>
      <c r="L135" s="47" t="s">
        <v>2353</v>
      </c>
      <c r="M135" s="24" t="s">
        <v>2354</v>
      </c>
      <c r="N135" s="24" t="s">
        <v>2355</v>
      </c>
      <c r="O135" s="47" t="s">
        <v>2356</v>
      </c>
      <c r="P135" s="47" t="s">
        <v>2357</v>
      </c>
      <c r="Q135" s="20" t="s">
        <v>55</v>
      </c>
      <c r="R135" s="53" t="s">
        <v>2358</v>
      </c>
      <c r="S135" s="20" t="s">
        <v>979</v>
      </c>
      <c r="T135" s="47" t="s">
        <v>2359</v>
      </c>
      <c r="U135" s="49" t="s">
        <v>2360</v>
      </c>
      <c r="V135" s="47" t="s">
        <v>2353</v>
      </c>
      <c r="W135" s="47">
        <v>2.05830089E8</v>
      </c>
      <c r="X135" s="20" t="s">
        <v>62</v>
      </c>
      <c r="Y135" s="20" t="s">
        <v>85</v>
      </c>
      <c r="Z135" s="20" t="s">
        <v>2361</v>
      </c>
      <c r="AA135" s="53" t="s">
        <v>2358</v>
      </c>
      <c r="AB135" s="53"/>
      <c r="AC135" s="20" t="s">
        <v>2362</v>
      </c>
      <c r="AD135" s="53" t="s">
        <v>2363</v>
      </c>
      <c r="AE135" s="53" t="s">
        <v>2350</v>
      </c>
      <c r="AF135" s="47" t="s">
        <v>2364</v>
      </c>
      <c r="AG135" s="53" t="s">
        <v>2358</v>
      </c>
      <c r="AH135" s="47" t="s">
        <v>2365</v>
      </c>
      <c r="AI135" s="83" t="s">
        <v>2366</v>
      </c>
      <c r="AJ135" s="53" t="s">
        <v>2367</v>
      </c>
      <c r="AK135" s="20" t="s">
        <v>2350</v>
      </c>
      <c r="AL135" s="20"/>
      <c r="AM135" s="29"/>
      <c r="AN135" s="29"/>
      <c r="AO135" s="29"/>
      <c r="AP135" s="29"/>
      <c r="AQ135" s="29"/>
      <c r="AR135" s="29"/>
      <c r="AS135" s="29"/>
      <c r="AT135" s="29"/>
      <c r="AU135" s="29"/>
      <c r="AV135" s="29"/>
      <c r="AW135" s="29"/>
      <c r="AX135" s="29"/>
      <c r="AY135" s="29"/>
      <c r="AZ135" s="29"/>
      <c r="BA135" s="29"/>
      <c r="BB135" s="29"/>
      <c r="BC135" s="29"/>
      <c r="BD135" s="29"/>
      <c r="BE135" s="29"/>
      <c r="BF135" s="29"/>
    </row>
    <row r="136" ht="60.0" customHeight="1">
      <c r="A136" s="20" t="s">
        <v>2368</v>
      </c>
      <c r="B136" s="20"/>
      <c r="C136" s="20" t="s">
        <v>47</v>
      </c>
      <c r="D136" s="21" t="s">
        <v>48</v>
      </c>
      <c r="E136" s="20" t="s">
        <v>2063</v>
      </c>
      <c r="F136" s="20" t="s">
        <v>2369</v>
      </c>
      <c r="G136" s="20" t="s">
        <v>2115</v>
      </c>
      <c r="H136" s="23">
        <v>44032.0</v>
      </c>
      <c r="I136" s="23">
        <f>'17025 SAL'!$H136+$AN$1</f>
        <v>45492</v>
      </c>
      <c r="J136" s="23">
        <v>43647.0</v>
      </c>
      <c r="K136" s="20"/>
      <c r="L136" s="47" t="s">
        <v>2370</v>
      </c>
      <c r="M136" s="24" t="s">
        <v>2371</v>
      </c>
      <c r="N136" s="24" t="s">
        <v>2372</v>
      </c>
      <c r="O136" s="47" t="s">
        <v>2373</v>
      </c>
      <c r="P136" s="47" t="s">
        <v>2374</v>
      </c>
      <c r="Q136" s="20" t="s">
        <v>55</v>
      </c>
      <c r="R136" s="53" t="s">
        <v>2375</v>
      </c>
      <c r="S136" s="20" t="s">
        <v>57</v>
      </c>
      <c r="T136" s="47" t="s">
        <v>2376</v>
      </c>
      <c r="U136" s="49" t="s">
        <v>2377</v>
      </c>
      <c r="V136" s="47" t="s">
        <v>2378</v>
      </c>
      <c r="W136" s="47">
        <v>1.010940356E9</v>
      </c>
      <c r="X136" s="20" t="s">
        <v>2379</v>
      </c>
      <c r="Y136" s="20" t="s">
        <v>63</v>
      </c>
      <c r="Z136" s="20" t="s">
        <v>2380</v>
      </c>
      <c r="AA136" s="53" t="s">
        <v>2375</v>
      </c>
      <c r="AB136" s="53"/>
      <c r="AC136" s="20" t="s">
        <v>1055</v>
      </c>
      <c r="AD136" s="47" t="s">
        <v>2381</v>
      </c>
      <c r="AE136" s="53" t="s">
        <v>2382</v>
      </c>
      <c r="AF136" s="47" t="s">
        <v>2373</v>
      </c>
      <c r="AG136" s="53" t="s">
        <v>2375</v>
      </c>
      <c r="AH136" s="47" t="s">
        <v>2374</v>
      </c>
      <c r="AI136" s="34" t="s">
        <v>2383</v>
      </c>
      <c r="AJ136" s="47" t="s">
        <v>2384</v>
      </c>
      <c r="AK136" s="20" t="s">
        <v>2382</v>
      </c>
      <c r="AL136" s="20"/>
      <c r="AM136" s="29"/>
      <c r="AN136" s="29"/>
      <c r="AO136" s="29"/>
      <c r="AP136" s="29"/>
      <c r="AQ136" s="29"/>
      <c r="AR136" s="29"/>
      <c r="AS136" s="29"/>
      <c r="AT136" s="29"/>
      <c r="AU136" s="29"/>
      <c r="AV136" s="29"/>
      <c r="AW136" s="29"/>
      <c r="AX136" s="29"/>
      <c r="AY136" s="29"/>
      <c r="AZ136" s="29"/>
      <c r="BA136" s="29"/>
      <c r="BB136" s="29"/>
      <c r="BC136" s="29"/>
      <c r="BD136" s="29"/>
      <c r="BE136" s="29"/>
      <c r="BF136" s="29"/>
    </row>
    <row r="137" ht="60.0" customHeight="1">
      <c r="A137" s="20" t="s">
        <v>2385</v>
      </c>
      <c r="B137" s="20"/>
      <c r="C137" s="20" t="s">
        <v>47</v>
      </c>
      <c r="D137" s="21" t="s">
        <v>48</v>
      </c>
      <c r="E137" s="20" t="s">
        <v>2386</v>
      </c>
      <c r="F137" s="20" t="s">
        <v>2387</v>
      </c>
      <c r="G137" s="20" t="s">
        <v>2130</v>
      </c>
      <c r="H137" s="23">
        <v>45394.0</v>
      </c>
      <c r="I137" s="23">
        <f>'17025 SAL'!$H137+$AN$1</f>
        <v>46854</v>
      </c>
      <c r="J137" s="23">
        <v>43728.0</v>
      </c>
      <c r="K137" s="20"/>
      <c r="L137" s="53" t="s">
        <v>2388</v>
      </c>
      <c r="M137" s="31" t="s">
        <v>2389</v>
      </c>
      <c r="N137" s="24" t="s">
        <v>2390</v>
      </c>
      <c r="O137" s="47" t="s">
        <v>2391</v>
      </c>
      <c r="P137" s="47" t="s">
        <v>2392</v>
      </c>
      <c r="Q137" s="20" t="s">
        <v>55</v>
      </c>
      <c r="R137" s="53" t="s">
        <v>2393</v>
      </c>
      <c r="S137" s="20" t="s">
        <v>2302</v>
      </c>
      <c r="T137" s="47" t="s">
        <v>2394</v>
      </c>
      <c r="U137" s="49" t="s">
        <v>2395</v>
      </c>
      <c r="V137" s="47" t="s">
        <v>2396</v>
      </c>
      <c r="W137" s="47" t="s">
        <v>2397</v>
      </c>
      <c r="X137" s="20" t="s">
        <v>2398</v>
      </c>
      <c r="Y137" s="20" t="s">
        <v>63</v>
      </c>
      <c r="Z137" s="20" t="s">
        <v>2399</v>
      </c>
      <c r="AA137" s="53" t="s">
        <v>2393</v>
      </c>
      <c r="AB137" s="53"/>
      <c r="AC137" s="20" t="s">
        <v>1513</v>
      </c>
      <c r="AD137" s="53" t="s">
        <v>2400</v>
      </c>
      <c r="AE137" s="53" t="s">
        <v>2401</v>
      </c>
      <c r="AF137" s="47" t="s">
        <v>2391</v>
      </c>
      <c r="AG137" s="53" t="s">
        <v>2393</v>
      </c>
      <c r="AH137" s="47" t="s">
        <v>2392</v>
      </c>
      <c r="AI137" s="34" t="s">
        <v>2402</v>
      </c>
      <c r="AJ137" s="53" t="s">
        <v>2403</v>
      </c>
      <c r="AK137" s="53" t="s">
        <v>2401</v>
      </c>
      <c r="AL137" s="20"/>
      <c r="AM137" s="29"/>
      <c r="AN137" s="29"/>
      <c r="AO137" s="29"/>
      <c r="AP137" s="29"/>
      <c r="AQ137" s="29"/>
      <c r="AR137" s="29"/>
      <c r="AS137" s="29"/>
      <c r="AT137" s="29"/>
      <c r="AU137" s="29"/>
      <c r="AV137" s="29"/>
      <c r="AW137" s="29"/>
      <c r="AX137" s="29"/>
      <c r="AY137" s="29"/>
      <c r="AZ137" s="29"/>
      <c r="BA137" s="29"/>
      <c r="BB137" s="29"/>
      <c r="BC137" s="29"/>
      <c r="BD137" s="29"/>
      <c r="BE137" s="29"/>
      <c r="BF137" s="29"/>
    </row>
    <row r="138" ht="60.0" customHeight="1">
      <c r="A138" s="20" t="s">
        <v>2404</v>
      </c>
      <c r="B138" s="20"/>
      <c r="C138" s="20" t="s">
        <v>231</v>
      </c>
      <c r="D138" s="21" t="s">
        <v>48</v>
      </c>
      <c r="E138" s="20" t="s">
        <v>49</v>
      </c>
      <c r="F138" s="20" t="s">
        <v>2405</v>
      </c>
      <c r="G138" s="20" t="s">
        <v>2045</v>
      </c>
      <c r="H138" s="23">
        <v>45434.0</v>
      </c>
      <c r="I138" s="23">
        <f>'17025 SAL'!$H138+$AN$1</f>
        <v>46894</v>
      </c>
      <c r="J138" s="23">
        <v>43511.0</v>
      </c>
      <c r="K138" s="20"/>
      <c r="L138" s="20" t="s">
        <v>2406</v>
      </c>
      <c r="M138" s="24" t="s">
        <v>2407</v>
      </c>
      <c r="N138" s="24" t="s">
        <v>2408</v>
      </c>
      <c r="O138" s="20" t="s">
        <v>2409</v>
      </c>
      <c r="P138" s="20" t="s">
        <v>324</v>
      </c>
      <c r="Q138" s="20" t="s">
        <v>55</v>
      </c>
      <c r="R138" s="20" t="s">
        <v>2410</v>
      </c>
      <c r="S138" s="20" t="s">
        <v>2302</v>
      </c>
      <c r="T138" s="20" t="s">
        <v>2411</v>
      </c>
      <c r="U138" s="34" t="s">
        <v>2412</v>
      </c>
      <c r="V138" s="20" t="s">
        <v>2413</v>
      </c>
      <c r="W138" s="20" t="s">
        <v>2414</v>
      </c>
      <c r="X138" s="84"/>
      <c r="Y138" s="20" t="s">
        <v>63</v>
      </c>
      <c r="Z138" s="20" t="s">
        <v>125</v>
      </c>
      <c r="AA138" s="20" t="s">
        <v>2415</v>
      </c>
      <c r="AB138" s="20"/>
      <c r="AC138" s="20" t="s">
        <v>67</v>
      </c>
      <c r="AD138" s="20"/>
      <c r="AE138" s="20" t="s">
        <v>2404</v>
      </c>
      <c r="AF138" s="20" t="s">
        <v>2416</v>
      </c>
      <c r="AG138" s="20" t="s">
        <v>2415</v>
      </c>
      <c r="AH138" s="20" t="s">
        <v>324</v>
      </c>
      <c r="AI138" s="20"/>
      <c r="AJ138" s="85"/>
      <c r="AK138" s="20"/>
      <c r="AL138" s="20"/>
      <c r="AM138" s="16"/>
      <c r="AN138" s="16"/>
      <c r="AO138" s="16"/>
      <c r="AP138" s="16"/>
      <c r="AQ138" s="16"/>
      <c r="AR138" s="16"/>
      <c r="AS138" s="16"/>
      <c r="AT138" s="16"/>
      <c r="AU138" s="16"/>
      <c r="AV138" s="16"/>
      <c r="AW138" s="16"/>
      <c r="AX138" s="16"/>
      <c r="AY138" s="16"/>
      <c r="AZ138" s="16"/>
      <c r="BA138" s="16"/>
      <c r="BB138" s="16"/>
      <c r="BC138" s="16"/>
      <c r="BD138" s="16"/>
      <c r="BE138" s="16"/>
      <c r="BF138" s="16"/>
    </row>
    <row r="139" ht="60.0" customHeight="1">
      <c r="A139" s="24" t="s">
        <v>2417</v>
      </c>
      <c r="B139" s="24"/>
      <c r="C139" s="20" t="s">
        <v>47</v>
      </c>
      <c r="D139" s="21" t="s">
        <v>48</v>
      </c>
      <c r="E139" s="20" t="s">
        <v>2063</v>
      </c>
      <c r="F139" s="20" t="s">
        <v>2418</v>
      </c>
      <c r="G139" s="20" t="s">
        <v>2103</v>
      </c>
      <c r="H139" s="23">
        <v>43887.0</v>
      </c>
      <c r="I139" s="23">
        <f>'17025 SAL'!$H139+$AN$1</f>
        <v>45347</v>
      </c>
      <c r="J139" s="23">
        <v>43647.0</v>
      </c>
      <c r="K139" s="20" t="s">
        <v>2419</v>
      </c>
      <c r="L139" s="20" t="s">
        <v>2420</v>
      </c>
      <c r="M139" s="24" t="s">
        <v>2421</v>
      </c>
      <c r="N139" s="24" t="s">
        <v>2422</v>
      </c>
      <c r="O139" s="20" t="s">
        <v>2423</v>
      </c>
      <c r="P139" s="20" t="s">
        <v>324</v>
      </c>
      <c r="Q139" s="20" t="s">
        <v>2135</v>
      </c>
      <c r="R139" s="26" t="s">
        <v>2424</v>
      </c>
      <c r="S139" s="20" t="s">
        <v>979</v>
      </c>
      <c r="T139" s="20" t="s">
        <v>2425</v>
      </c>
      <c r="U139" s="34" t="s">
        <v>324</v>
      </c>
      <c r="V139" s="20" t="s">
        <v>2426</v>
      </c>
      <c r="W139" s="20" t="s">
        <v>2427</v>
      </c>
      <c r="X139" s="20" t="s">
        <v>84</v>
      </c>
      <c r="Y139" s="20" t="s">
        <v>63</v>
      </c>
      <c r="Z139" s="20"/>
      <c r="AA139" s="26" t="s">
        <v>2428</v>
      </c>
      <c r="AB139" s="26"/>
      <c r="AC139" s="20" t="s">
        <v>2429</v>
      </c>
      <c r="AD139" s="46"/>
      <c r="AE139" s="20" t="s">
        <v>2417</v>
      </c>
      <c r="AF139" s="20" t="s">
        <v>2423</v>
      </c>
      <c r="AG139" s="20" t="s">
        <v>2428</v>
      </c>
      <c r="AH139" s="20" t="s">
        <v>324</v>
      </c>
      <c r="AI139" s="20"/>
      <c r="AJ139" s="85"/>
      <c r="AK139" s="20" t="s">
        <v>2417</v>
      </c>
      <c r="AL139" s="20"/>
      <c r="AM139" s="29"/>
      <c r="AN139" s="29"/>
      <c r="AO139" s="29"/>
      <c r="AP139" s="29"/>
      <c r="AQ139" s="29"/>
      <c r="AR139" s="29"/>
      <c r="AS139" s="29"/>
      <c r="AT139" s="29"/>
      <c r="AU139" s="29"/>
      <c r="AV139" s="29"/>
      <c r="AW139" s="29"/>
      <c r="AX139" s="29"/>
      <c r="AY139" s="29"/>
      <c r="AZ139" s="29"/>
      <c r="BA139" s="29"/>
      <c r="BB139" s="29"/>
      <c r="BC139" s="29"/>
      <c r="BD139" s="29"/>
      <c r="BE139" s="29"/>
      <c r="BF139" s="29"/>
    </row>
    <row r="140" ht="60.0" customHeight="1">
      <c r="A140" s="20" t="s">
        <v>2430</v>
      </c>
      <c r="B140" s="20" t="s">
        <v>2430</v>
      </c>
      <c r="C140" s="20" t="s">
        <v>47</v>
      </c>
      <c r="D140" s="21" t="s">
        <v>48</v>
      </c>
      <c r="E140" s="20" t="s">
        <v>2063</v>
      </c>
      <c r="F140" s="20" t="s">
        <v>2431</v>
      </c>
      <c r="G140" s="20" t="s">
        <v>2432</v>
      </c>
      <c r="H140" s="23">
        <v>45176.0</v>
      </c>
      <c r="I140" s="23">
        <f>'17025 SAL'!$H140+$AN$1</f>
        <v>46636</v>
      </c>
      <c r="J140" s="23">
        <v>43728.0</v>
      </c>
      <c r="K140" s="20"/>
      <c r="L140" s="20" t="s">
        <v>2433</v>
      </c>
      <c r="M140" s="31" t="s">
        <v>2434</v>
      </c>
      <c r="N140" s="24"/>
      <c r="O140" s="20" t="s">
        <v>2435</v>
      </c>
      <c r="P140" s="20" t="s">
        <v>324</v>
      </c>
      <c r="Q140" s="20" t="s">
        <v>2135</v>
      </c>
      <c r="R140" s="20" t="s">
        <v>2436</v>
      </c>
      <c r="S140" s="20" t="s">
        <v>490</v>
      </c>
      <c r="T140" s="20" t="s">
        <v>2437</v>
      </c>
      <c r="U140" s="34" t="s">
        <v>2438</v>
      </c>
      <c r="V140" s="20" t="s">
        <v>2439</v>
      </c>
      <c r="W140" s="20" t="s">
        <v>2440</v>
      </c>
      <c r="X140" s="20" t="s">
        <v>62</v>
      </c>
      <c r="Y140" s="20" t="s">
        <v>63</v>
      </c>
      <c r="Z140" s="20" t="s">
        <v>2441</v>
      </c>
      <c r="AA140" s="26" t="s">
        <v>2436</v>
      </c>
      <c r="AB140" s="26"/>
      <c r="AC140" s="20" t="s">
        <v>1142</v>
      </c>
      <c r="AD140" s="47"/>
      <c r="AE140" s="20"/>
      <c r="AF140" s="47" t="s">
        <v>2442</v>
      </c>
      <c r="AG140" s="20" t="s">
        <v>2436</v>
      </c>
      <c r="AH140" s="20" t="s">
        <v>324</v>
      </c>
      <c r="AI140" s="34" t="s">
        <v>2443</v>
      </c>
      <c r="AJ140" s="85"/>
      <c r="AK140" s="20" t="s">
        <v>2430</v>
      </c>
      <c r="AL140" s="20" t="s">
        <v>2444</v>
      </c>
      <c r="AM140" s="29"/>
      <c r="AN140" s="29"/>
      <c r="AO140" s="29"/>
      <c r="AP140" s="29"/>
      <c r="AQ140" s="29"/>
      <c r="AR140" s="29"/>
      <c r="AS140" s="29"/>
      <c r="AT140" s="29"/>
      <c r="AU140" s="29"/>
      <c r="AV140" s="29"/>
      <c r="AW140" s="29"/>
      <c r="AX140" s="29"/>
      <c r="AY140" s="29"/>
      <c r="AZ140" s="29"/>
      <c r="BA140" s="29"/>
      <c r="BB140" s="29"/>
      <c r="BC140" s="29"/>
      <c r="BD140" s="29"/>
      <c r="BE140" s="29"/>
      <c r="BF140" s="29"/>
    </row>
    <row r="141" ht="60.0" customHeight="1">
      <c r="A141" s="26" t="s">
        <v>2445</v>
      </c>
      <c r="B141" s="20" t="s">
        <v>355</v>
      </c>
      <c r="C141" s="20" t="s">
        <v>47</v>
      </c>
      <c r="D141" s="21" t="s">
        <v>48</v>
      </c>
      <c r="E141" s="20" t="s">
        <v>157</v>
      </c>
      <c r="F141" s="20" t="s">
        <v>2446</v>
      </c>
      <c r="G141" s="20" t="s">
        <v>2218</v>
      </c>
      <c r="H141" s="23">
        <v>45425.0</v>
      </c>
      <c r="I141" s="23">
        <f>'17025 SAL'!$H141+$AN$1</f>
        <v>46885</v>
      </c>
      <c r="J141" s="23">
        <v>43927.0</v>
      </c>
      <c r="K141" s="20"/>
      <c r="L141" s="20" t="s">
        <v>2447</v>
      </c>
      <c r="M141" s="26" t="s">
        <v>2448</v>
      </c>
      <c r="N141" s="20" t="s">
        <v>2449</v>
      </c>
      <c r="O141" s="24" t="s">
        <v>2450</v>
      </c>
      <c r="P141" s="20"/>
      <c r="Q141" s="20" t="s">
        <v>2135</v>
      </c>
      <c r="R141" s="20" t="s">
        <v>2451</v>
      </c>
      <c r="S141" s="20" t="s">
        <v>57</v>
      </c>
      <c r="T141" s="20" t="s">
        <v>1635</v>
      </c>
      <c r="U141" s="20"/>
      <c r="V141" s="20" t="s">
        <v>2452</v>
      </c>
      <c r="W141" s="20" t="s">
        <v>2453</v>
      </c>
      <c r="X141" s="20" t="s">
        <v>62</v>
      </c>
      <c r="Y141" s="20" t="s">
        <v>63</v>
      </c>
      <c r="Z141" s="20" t="s">
        <v>1388</v>
      </c>
      <c r="AA141" s="20" t="s">
        <v>2454</v>
      </c>
      <c r="AB141" s="20" t="s">
        <v>2455</v>
      </c>
      <c r="AC141" s="20" t="s">
        <v>1733</v>
      </c>
      <c r="AD141" s="20" t="s">
        <v>2456</v>
      </c>
      <c r="AE141" s="26" t="s">
        <v>355</v>
      </c>
      <c r="AF141" s="26" t="s">
        <v>2457</v>
      </c>
      <c r="AG141" s="20" t="s">
        <v>2451</v>
      </c>
      <c r="AH141" s="20" t="s">
        <v>140</v>
      </c>
      <c r="AI141" s="20"/>
      <c r="AJ141" s="85"/>
      <c r="AK141" s="20" t="s">
        <v>355</v>
      </c>
      <c r="AL141" s="20"/>
      <c r="AM141" s="29"/>
      <c r="AN141" s="29"/>
      <c r="AO141" s="29"/>
      <c r="AP141" s="29"/>
      <c r="AQ141" s="29"/>
      <c r="AR141" s="29"/>
      <c r="AS141" s="29"/>
      <c r="AT141" s="29"/>
      <c r="AU141" s="29"/>
      <c r="AV141" s="29"/>
      <c r="AW141" s="29"/>
      <c r="AX141" s="29"/>
      <c r="AY141" s="29"/>
      <c r="AZ141" s="29"/>
      <c r="BA141" s="29"/>
      <c r="BB141" s="29"/>
      <c r="BC141" s="29"/>
      <c r="BD141" s="29"/>
      <c r="BE141" s="29"/>
      <c r="BF141" s="29"/>
    </row>
    <row r="142" ht="60.0" customHeight="1">
      <c r="A142" s="26" t="s">
        <v>2458</v>
      </c>
      <c r="B142" s="26" t="s">
        <v>355</v>
      </c>
      <c r="C142" s="26" t="s">
        <v>47</v>
      </c>
      <c r="D142" s="21" t="s">
        <v>213</v>
      </c>
      <c r="E142" s="26" t="s">
        <v>157</v>
      </c>
      <c r="F142" s="26" t="s">
        <v>2459</v>
      </c>
      <c r="G142" s="26" t="s">
        <v>2460</v>
      </c>
      <c r="H142" s="54"/>
      <c r="I142" s="22">
        <f>'17025 SAL'!$H142+$AN$1</f>
        <v>1460</v>
      </c>
      <c r="J142" s="22">
        <v>43991.0</v>
      </c>
      <c r="K142" s="26"/>
      <c r="L142" s="26" t="s">
        <v>2461</v>
      </c>
      <c r="M142" s="26" t="s">
        <v>2462</v>
      </c>
      <c r="N142" s="26" t="s">
        <v>2463</v>
      </c>
      <c r="O142" s="26" t="s">
        <v>2464</v>
      </c>
      <c r="P142" s="26" t="s">
        <v>324</v>
      </c>
      <c r="Q142" s="26" t="s">
        <v>55</v>
      </c>
      <c r="R142" s="26" t="s">
        <v>2465</v>
      </c>
      <c r="S142" s="26" t="s">
        <v>57</v>
      </c>
      <c r="T142" s="26" t="s">
        <v>2466</v>
      </c>
      <c r="U142" s="26" t="s">
        <v>324</v>
      </c>
      <c r="V142" s="26" t="s">
        <v>2467</v>
      </c>
      <c r="W142" s="26" t="s">
        <v>2468</v>
      </c>
      <c r="X142" s="26"/>
      <c r="Y142" s="26" t="s">
        <v>63</v>
      </c>
      <c r="Z142" s="26" t="s">
        <v>411</v>
      </c>
      <c r="AA142" s="26" t="s">
        <v>2465</v>
      </c>
      <c r="AB142" s="26"/>
      <c r="AC142" s="26" t="s">
        <v>2469</v>
      </c>
      <c r="AD142" s="26" t="s">
        <v>355</v>
      </c>
      <c r="AE142" s="26"/>
      <c r="AF142" s="26" t="s">
        <v>2470</v>
      </c>
      <c r="AG142" s="26" t="s">
        <v>2465</v>
      </c>
      <c r="AH142" s="26" t="s">
        <v>324</v>
      </c>
      <c r="AI142" s="26"/>
      <c r="AJ142" s="26"/>
      <c r="AK142" s="26" t="s">
        <v>2471</v>
      </c>
      <c r="AL142" s="26"/>
      <c r="AM142" s="29"/>
      <c r="AN142" s="29"/>
      <c r="AO142" s="29"/>
      <c r="AP142" s="29"/>
      <c r="AQ142" s="29"/>
      <c r="AR142" s="29"/>
      <c r="AS142" s="29"/>
      <c r="AT142" s="29"/>
      <c r="AU142" s="29"/>
      <c r="AV142" s="29"/>
      <c r="AW142" s="29"/>
      <c r="AX142" s="29"/>
      <c r="AY142" s="29"/>
      <c r="AZ142" s="29"/>
      <c r="BA142" s="29"/>
      <c r="BB142" s="29"/>
      <c r="BC142" s="29"/>
      <c r="BD142" s="29"/>
      <c r="BE142" s="29"/>
      <c r="BF142" s="29"/>
    </row>
    <row r="143" ht="60.0" customHeight="1">
      <c r="A143" s="26" t="s">
        <v>2472</v>
      </c>
      <c r="B143" s="26" t="s">
        <v>2473</v>
      </c>
      <c r="C143" s="20" t="s">
        <v>47</v>
      </c>
      <c r="D143" s="21" t="s">
        <v>213</v>
      </c>
      <c r="E143" s="20" t="s">
        <v>49</v>
      </c>
      <c r="F143" s="20" t="s">
        <v>2474</v>
      </c>
      <c r="G143" s="20" t="s">
        <v>2475</v>
      </c>
      <c r="H143" s="23">
        <v>44120.0</v>
      </c>
      <c r="I143" s="23">
        <f>'17025 SAL'!$H143+$AN$1</f>
        <v>45580</v>
      </c>
      <c r="J143" s="23">
        <v>43914.0</v>
      </c>
      <c r="K143" s="20"/>
      <c r="L143" s="47" t="s">
        <v>2476</v>
      </c>
      <c r="M143" s="24" t="s">
        <v>2477</v>
      </c>
      <c r="N143" s="24" t="s">
        <v>2478</v>
      </c>
      <c r="O143" s="20">
        <v>5.2144221148E12</v>
      </c>
      <c r="P143" s="20" t="s">
        <v>140</v>
      </c>
      <c r="Q143" s="20" t="s">
        <v>2479</v>
      </c>
      <c r="R143" s="20" t="s">
        <v>2480</v>
      </c>
      <c r="S143" s="20" t="s">
        <v>2481</v>
      </c>
      <c r="T143" s="20" t="s">
        <v>2482</v>
      </c>
      <c r="U143" s="34" t="s">
        <v>140</v>
      </c>
      <c r="V143" s="20" t="s">
        <v>2483</v>
      </c>
      <c r="W143" s="62" t="s">
        <v>2484</v>
      </c>
      <c r="X143" s="20"/>
      <c r="Y143" s="20"/>
      <c r="Z143" s="20"/>
      <c r="AA143" s="20"/>
      <c r="AB143" s="20"/>
      <c r="AC143" s="20"/>
      <c r="AD143" s="26" t="s">
        <v>2485</v>
      </c>
      <c r="AE143" s="26"/>
      <c r="AF143" s="20" t="s">
        <v>2486</v>
      </c>
      <c r="AG143" s="20" t="s">
        <v>2487</v>
      </c>
      <c r="AH143" s="20"/>
      <c r="AI143" s="24"/>
      <c r="AJ143" s="20"/>
      <c r="AK143" s="26" t="s">
        <v>2488</v>
      </c>
      <c r="AL143" s="20" t="s">
        <v>2489</v>
      </c>
      <c r="AM143" s="29"/>
      <c r="AN143" s="29"/>
      <c r="AO143" s="29"/>
      <c r="AP143" s="29"/>
      <c r="AQ143" s="29"/>
      <c r="AR143" s="29"/>
      <c r="AS143" s="29"/>
      <c r="AT143" s="29"/>
      <c r="AU143" s="29"/>
      <c r="AV143" s="29"/>
      <c r="AW143" s="29"/>
      <c r="AX143" s="29"/>
      <c r="AY143" s="29"/>
      <c r="AZ143" s="29"/>
      <c r="BA143" s="29"/>
      <c r="BB143" s="29"/>
      <c r="BC143" s="29"/>
      <c r="BD143" s="29"/>
      <c r="BE143" s="29"/>
      <c r="BF143" s="29"/>
    </row>
    <row r="144" ht="60.0" customHeight="1">
      <c r="A144" s="26" t="s">
        <v>2490</v>
      </c>
      <c r="B144" s="26" t="s">
        <v>2473</v>
      </c>
      <c r="C144" s="20" t="s">
        <v>2491</v>
      </c>
      <c r="D144" s="21" t="s">
        <v>213</v>
      </c>
      <c r="E144" s="20" t="s">
        <v>49</v>
      </c>
      <c r="F144" s="20" t="s">
        <v>2492</v>
      </c>
      <c r="G144" s="20" t="s">
        <v>2492</v>
      </c>
      <c r="H144" s="23">
        <v>44644.0</v>
      </c>
      <c r="I144" s="23">
        <f>'17025 SAL'!$H144+$AN$1</f>
        <v>46104</v>
      </c>
      <c r="J144" s="23">
        <v>44183.0</v>
      </c>
      <c r="K144" s="20"/>
      <c r="L144" s="47" t="s">
        <v>2493</v>
      </c>
      <c r="M144" s="24" t="s">
        <v>2494</v>
      </c>
      <c r="N144" s="24" t="s">
        <v>2495</v>
      </c>
      <c r="O144" s="20" t="s">
        <v>2496</v>
      </c>
      <c r="P144" s="20" t="s">
        <v>2497</v>
      </c>
      <c r="Q144" s="20" t="s">
        <v>2283</v>
      </c>
      <c r="R144" s="20" t="s">
        <v>2498</v>
      </c>
      <c r="S144" s="20" t="s">
        <v>2499</v>
      </c>
      <c r="T144" s="20" t="s">
        <v>2500</v>
      </c>
      <c r="U144" s="34" t="s">
        <v>140</v>
      </c>
      <c r="V144" s="20" t="s">
        <v>2501</v>
      </c>
      <c r="W144" s="62" t="s">
        <v>2502</v>
      </c>
      <c r="X144" s="20"/>
      <c r="Y144" s="20" t="s">
        <v>2503</v>
      </c>
      <c r="Z144" s="20" t="s">
        <v>2504</v>
      </c>
      <c r="AA144" s="20" t="s">
        <v>2505</v>
      </c>
      <c r="AB144" s="20"/>
      <c r="AC144" s="20"/>
      <c r="AD144" s="26" t="s">
        <v>2506</v>
      </c>
      <c r="AE144" s="26" t="s">
        <v>2507</v>
      </c>
      <c r="AF144" s="20" t="s">
        <v>2496</v>
      </c>
      <c r="AG144" s="20" t="s">
        <v>2505</v>
      </c>
      <c r="AH144" s="20"/>
      <c r="AI144" s="24" t="s">
        <v>2508</v>
      </c>
      <c r="AJ144" s="20" t="s">
        <v>2509</v>
      </c>
      <c r="AK144" s="26" t="s">
        <v>2510</v>
      </c>
      <c r="AL144" s="20"/>
      <c r="AM144" s="29"/>
      <c r="AN144" s="29"/>
      <c r="AO144" s="29"/>
      <c r="AP144" s="29"/>
      <c r="AQ144" s="29"/>
      <c r="AR144" s="29"/>
      <c r="AS144" s="29"/>
      <c r="AT144" s="29"/>
      <c r="AU144" s="29"/>
      <c r="AV144" s="29"/>
      <c r="AW144" s="29"/>
      <c r="AX144" s="29"/>
      <c r="AY144" s="29"/>
      <c r="AZ144" s="29"/>
      <c r="BA144" s="29"/>
      <c r="BB144" s="29"/>
      <c r="BC144" s="29"/>
      <c r="BD144" s="29"/>
      <c r="BE144" s="29"/>
      <c r="BF144" s="29"/>
    </row>
    <row r="145" ht="60.0" customHeight="1">
      <c r="A145" s="20" t="s">
        <v>2511</v>
      </c>
      <c r="B145" s="20" t="s">
        <v>2511</v>
      </c>
      <c r="C145" s="20" t="s">
        <v>47</v>
      </c>
      <c r="D145" s="21" t="s">
        <v>48</v>
      </c>
      <c r="E145" s="20" t="s">
        <v>49</v>
      </c>
      <c r="F145" s="20" t="s">
        <v>2512</v>
      </c>
      <c r="G145" s="20" t="s">
        <v>2248</v>
      </c>
      <c r="H145" s="23">
        <v>45485.0</v>
      </c>
      <c r="I145" s="23">
        <f>'17025 SAL'!$H145+$AN$1</f>
        <v>46945</v>
      </c>
      <c r="J145" s="23">
        <v>44041.0</v>
      </c>
      <c r="K145" s="20"/>
      <c r="L145" s="20" t="s">
        <v>2513</v>
      </c>
      <c r="M145" s="31" t="s">
        <v>2514</v>
      </c>
      <c r="N145" s="34" t="s">
        <v>2515</v>
      </c>
      <c r="O145" s="20" t="s">
        <v>2516</v>
      </c>
      <c r="P145" s="20" t="s">
        <v>140</v>
      </c>
      <c r="Q145" s="20" t="s">
        <v>1135</v>
      </c>
      <c r="R145" s="20" t="s">
        <v>2517</v>
      </c>
      <c r="S145" s="20" t="s">
        <v>2518</v>
      </c>
      <c r="T145" s="20" t="s">
        <v>2519</v>
      </c>
      <c r="U145" s="20" t="s">
        <v>140</v>
      </c>
      <c r="V145" s="20" t="s">
        <v>2520</v>
      </c>
      <c r="W145" s="20" t="s">
        <v>2521</v>
      </c>
      <c r="X145" s="20" t="s">
        <v>84</v>
      </c>
      <c r="Y145" s="20" t="s">
        <v>1140</v>
      </c>
      <c r="Z145" s="20"/>
      <c r="AA145" s="20" t="s">
        <v>2517</v>
      </c>
      <c r="AB145" s="20"/>
      <c r="AC145" s="20" t="s">
        <v>67</v>
      </c>
      <c r="AD145" s="20"/>
      <c r="AE145" s="20"/>
      <c r="AF145" s="20"/>
      <c r="AG145" s="20"/>
      <c r="AH145" s="20"/>
      <c r="AI145" s="20"/>
      <c r="AJ145" s="20"/>
      <c r="AK145" s="20" t="s">
        <v>2511</v>
      </c>
      <c r="AL145" s="20" t="s">
        <v>2522</v>
      </c>
      <c r="AM145" s="29"/>
      <c r="AN145" s="29"/>
      <c r="AO145" s="29"/>
      <c r="AP145" s="29"/>
      <c r="AQ145" s="29"/>
      <c r="AR145" s="29"/>
      <c r="AS145" s="29"/>
      <c r="AT145" s="29"/>
      <c r="AU145" s="29"/>
      <c r="AV145" s="29"/>
      <c r="AW145" s="29"/>
      <c r="AX145" s="29"/>
      <c r="AY145" s="29"/>
      <c r="AZ145" s="29"/>
      <c r="BA145" s="29"/>
      <c r="BB145" s="29"/>
      <c r="BC145" s="29"/>
      <c r="BD145" s="29"/>
      <c r="BE145" s="29"/>
      <c r="BF145" s="29"/>
    </row>
    <row r="146" ht="60.0" customHeight="1">
      <c r="A146" s="20" t="s">
        <v>2523</v>
      </c>
      <c r="B146" s="20" t="s">
        <v>2523</v>
      </c>
      <c r="C146" s="20" t="s">
        <v>47</v>
      </c>
      <c r="D146" s="21" t="s">
        <v>48</v>
      </c>
      <c r="E146" s="20" t="s">
        <v>49</v>
      </c>
      <c r="F146" s="20" t="s">
        <v>2524</v>
      </c>
      <c r="G146" s="20" t="s">
        <v>2524</v>
      </c>
      <c r="H146" s="23">
        <v>45688.0</v>
      </c>
      <c r="I146" s="23">
        <f>'17025 SAL'!$H146+$AN$1</f>
        <v>47148</v>
      </c>
      <c r="J146" s="23">
        <v>44162.0</v>
      </c>
      <c r="K146" s="20"/>
      <c r="L146" s="20" t="s">
        <v>2525</v>
      </c>
      <c r="M146" s="24" t="s">
        <v>2526</v>
      </c>
      <c r="N146" s="31" t="s">
        <v>2527</v>
      </c>
      <c r="O146" s="20" t="s">
        <v>2528</v>
      </c>
      <c r="P146" s="20" t="s">
        <v>140</v>
      </c>
      <c r="Q146" s="20" t="s">
        <v>55</v>
      </c>
      <c r="R146" s="20" t="s">
        <v>2529</v>
      </c>
      <c r="S146" s="20" t="s">
        <v>2530</v>
      </c>
      <c r="T146" s="20" t="s">
        <v>2531</v>
      </c>
      <c r="U146" s="20" t="s">
        <v>140</v>
      </c>
      <c r="V146" s="20" t="s">
        <v>2532</v>
      </c>
      <c r="W146" s="20" t="s">
        <v>2533</v>
      </c>
      <c r="X146" s="20" t="s">
        <v>62</v>
      </c>
      <c r="Y146" s="20" t="s">
        <v>2534</v>
      </c>
      <c r="Z146" s="20" t="s">
        <v>2535</v>
      </c>
      <c r="AA146" s="20" t="s">
        <v>2529</v>
      </c>
      <c r="AB146" s="20"/>
      <c r="AC146" s="20" t="s">
        <v>67</v>
      </c>
      <c r="AD146" s="20" t="s">
        <v>140</v>
      </c>
      <c r="AE146" s="20" t="s">
        <v>140</v>
      </c>
      <c r="AF146" s="20" t="s">
        <v>2528</v>
      </c>
      <c r="AG146" s="20" t="s">
        <v>2529</v>
      </c>
      <c r="AH146" s="20" t="s">
        <v>140</v>
      </c>
      <c r="AI146" s="20" t="s">
        <v>2526</v>
      </c>
      <c r="AJ146" s="20"/>
      <c r="AK146" s="20" t="s">
        <v>2523</v>
      </c>
      <c r="AL146" s="86" t="s">
        <v>2536</v>
      </c>
      <c r="AM146" s="87"/>
      <c r="AN146" s="29"/>
      <c r="AO146" s="29"/>
      <c r="AP146" s="29"/>
      <c r="AQ146" s="29"/>
      <c r="AR146" s="29"/>
      <c r="AS146" s="29"/>
      <c r="AT146" s="29"/>
      <c r="AU146" s="29"/>
      <c r="AV146" s="29"/>
      <c r="AW146" s="29"/>
      <c r="AX146" s="29"/>
      <c r="AY146" s="29"/>
      <c r="AZ146" s="29"/>
      <c r="BA146" s="29"/>
      <c r="BB146" s="29"/>
      <c r="BC146" s="29"/>
      <c r="BD146" s="29"/>
      <c r="BE146" s="29"/>
      <c r="BF146" s="29"/>
    </row>
    <row r="147" ht="60.0" customHeight="1">
      <c r="A147" s="24" t="s">
        <v>2537</v>
      </c>
      <c r="B147" s="24" t="s">
        <v>2538</v>
      </c>
      <c r="C147" s="24" t="s">
        <v>231</v>
      </c>
      <c r="D147" s="21" t="s">
        <v>2027</v>
      </c>
      <c r="E147" s="24" t="s">
        <v>49</v>
      </c>
      <c r="F147" s="24" t="s">
        <v>2539</v>
      </c>
      <c r="G147" s="24"/>
      <c r="H147" s="54"/>
      <c r="I147" s="54">
        <f>'17025 SAL'!$H147+$AN$1</f>
        <v>1460</v>
      </c>
      <c r="J147" s="24"/>
      <c r="K147" s="24"/>
      <c r="L147" s="26" t="s">
        <v>2540</v>
      </c>
      <c r="M147" s="26" t="s">
        <v>2541</v>
      </c>
      <c r="N147" s="26" t="s">
        <v>2542</v>
      </c>
      <c r="O147" s="24" t="s">
        <v>2543</v>
      </c>
      <c r="P147" s="24" t="s">
        <v>140</v>
      </c>
      <c r="Q147" s="24" t="s">
        <v>55</v>
      </c>
      <c r="R147" s="24" t="s">
        <v>2544</v>
      </c>
      <c r="S147" s="24" t="s">
        <v>57</v>
      </c>
      <c r="T147" s="24" t="s">
        <v>2253</v>
      </c>
      <c r="U147" s="24" t="s">
        <v>140</v>
      </c>
      <c r="V147" s="24" t="s">
        <v>2545</v>
      </c>
      <c r="W147" s="24" t="s">
        <v>2255</v>
      </c>
      <c r="X147" s="24" t="s">
        <v>2256</v>
      </c>
      <c r="Y147" s="24" t="s">
        <v>2534</v>
      </c>
      <c r="Z147" s="24" t="s">
        <v>411</v>
      </c>
      <c r="AA147" s="24" t="s">
        <v>2544</v>
      </c>
      <c r="AB147" s="24"/>
      <c r="AC147" s="24" t="s">
        <v>67</v>
      </c>
      <c r="AD147" s="24" t="s">
        <v>2546</v>
      </c>
      <c r="AE147" s="24" t="s">
        <v>2547</v>
      </c>
      <c r="AF147" s="24" t="s">
        <v>2543</v>
      </c>
      <c r="AG147" s="24" t="s">
        <v>2544</v>
      </c>
      <c r="AH147" s="24" t="s">
        <v>140</v>
      </c>
      <c r="AI147" s="55" t="s">
        <v>2548</v>
      </c>
      <c r="AJ147" s="24" t="s">
        <v>2549</v>
      </c>
      <c r="AK147" s="24" t="s">
        <v>2537</v>
      </c>
      <c r="AL147" s="24"/>
      <c r="AM147" s="29"/>
      <c r="AN147" s="29"/>
      <c r="AO147" s="29"/>
      <c r="AP147" s="29"/>
      <c r="AQ147" s="29"/>
      <c r="AR147" s="29"/>
      <c r="AS147" s="29"/>
      <c r="AT147" s="29"/>
      <c r="AU147" s="29"/>
      <c r="AV147" s="29"/>
      <c r="AW147" s="29"/>
      <c r="AX147" s="29"/>
      <c r="AY147" s="29"/>
      <c r="AZ147" s="29"/>
      <c r="BA147" s="29"/>
      <c r="BB147" s="29"/>
      <c r="BC147" s="29"/>
      <c r="BD147" s="29"/>
      <c r="BE147" s="29"/>
      <c r="BF147" s="29"/>
    </row>
    <row r="148" ht="60.0" customHeight="1">
      <c r="A148" s="20" t="s">
        <v>2550</v>
      </c>
      <c r="B148" s="20" t="s">
        <v>2551</v>
      </c>
      <c r="C148" s="20" t="s">
        <v>231</v>
      </c>
      <c r="D148" s="21" t="s">
        <v>48</v>
      </c>
      <c r="E148" s="20" t="s">
        <v>49</v>
      </c>
      <c r="F148" s="20" t="s">
        <v>2552</v>
      </c>
      <c r="G148" s="20" t="s">
        <v>2552</v>
      </c>
      <c r="H148" s="23">
        <v>45378.0</v>
      </c>
      <c r="I148" s="23">
        <f>'17025 SAL'!$H148+$AN$1</f>
        <v>46838</v>
      </c>
      <c r="J148" s="23">
        <v>44222.0</v>
      </c>
      <c r="K148" s="20"/>
      <c r="L148" s="20" t="s">
        <v>2553</v>
      </c>
      <c r="M148" s="24" t="s">
        <v>2554</v>
      </c>
      <c r="N148" s="26" t="s">
        <v>2555</v>
      </c>
      <c r="O148" s="20" t="s">
        <v>2556</v>
      </c>
      <c r="P148" s="20" t="s">
        <v>140</v>
      </c>
      <c r="Q148" s="20" t="s">
        <v>55</v>
      </c>
      <c r="R148" s="20" t="s">
        <v>2557</v>
      </c>
      <c r="S148" s="20" t="s">
        <v>979</v>
      </c>
      <c r="T148" s="20" t="s">
        <v>2558</v>
      </c>
      <c r="U148" s="20" t="s">
        <v>140</v>
      </c>
      <c r="V148" s="20" t="s">
        <v>2559</v>
      </c>
      <c r="W148" s="20" t="s">
        <v>2560</v>
      </c>
      <c r="X148" s="20" t="s">
        <v>62</v>
      </c>
      <c r="Y148" s="20" t="s">
        <v>2534</v>
      </c>
      <c r="Z148" s="20" t="s">
        <v>1472</v>
      </c>
      <c r="AA148" s="20" t="s">
        <v>2561</v>
      </c>
      <c r="AB148" s="20"/>
      <c r="AC148" s="20" t="s">
        <v>67</v>
      </c>
      <c r="AD148" s="20" t="s">
        <v>2562</v>
      </c>
      <c r="AE148" s="20" t="s">
        <v>2563</v>
      </c>
      <c r="AF148" s="20" t="s">
        <v>2564</v>
      </c>
      <c r="AG148" s="20" t="s">
        <v>2565</v>
      </c>
      <c r="AH148" s="20" t="s">
        <v>140</v>
      </c>
      <c r="AI148" s="20" t="s">
        <v>2566</v>
      </c>
      <c r="AJ148" s="20" t="s">
        <v>2567</v>
      </c>
      <c r="AK148" s="20" t="s">
        <v>2550</v>
      </c>
      <c r="AL148" s="20"/>
      <c r="AM148" s="16"/>
      <c r="AN148" s="16"/>
      <c r="AO148" s="16"/>
      <c r="AP148" s="16"/>
      <c r="AQ148" s="16"/>
      <c r="AR148" s="16"/>
      <c r="AS148" s="16"/>
      <c r="AT148" s="16"/>
      <c r="AU148" s="16"/>
      <c r="AV148" s="16"/>
      <c r="AW148" s="16"/>
      <c r="AX148" s="16"/>
      <c r="AY148" s="16"/>
      <c r="AZ148" s="16"/>
      <c r="BA148" s="16"/>
      <c r="BB148" s="16"/>
      <c r="BC148" s="16"/>
      <c r="BD148" s="16"/>
      <c r="BE148" s="16"/>
      <c r="BF148" s="16"/>
    </row>
    <row r="149" ht="60.0" customHeight="1">
      <c r="A149" s="24" t="s">
        <v>2568</v>
      </c>
      <c r="B149" s="24" t="s">
        <v>2569</v>
      </c>
      <c r="C149" s="24" t="s">
        <v>231</v>
      </c>
      <c r="D149" s="21" t="s">
        <v>2027</v>
      </c>
      <c r="E149" s="24" t="s">
        <v>49</v>
      </c>
      <c r="F149" s="24" t="s">
        <v>2570</v>
      </c>
      <c r="G149" s="24"/>
      <c r="H149" s="24"/>
      <c r="I149" s="54">
        <f>'17025 SAL'!$H149+$AN$1</f>
        <v>1460</v>
      </c>
      <c r="J149" s="24"/>
      <c r="K149" s="24"/>
      <c r="L149" s="24" t="s">
        <v>2571</v>
      </c>
      <c r="M149" s="26" t="s">
        <v>2572</v>
      </c>
      <c r="N149" s="65" t="s">
        <v>140</v>
      </c>
      <c r="O149" s="24" t="s">
        <v>2573</v>
      </c>
      <c r="P149" s="24" t="s">
        <v>140</v>
      </c>
      <c r="Q149" s="24" t="s">
        <v>2574</v>
      </c>
      <c r="R149" s="24" t="s">
        <v>2575</v>
      </c>
      <c r="S149" s="24" t="s">
        <v>2576</v>
      </c>
      <c r="T149" s="24" t="s">
        <v>2577</v>
      </c>
      <c r="U149" s="55" t="s">
        <v>2578</v>
      </c>
      <c r="V149" s="24" t="s">
        <v>2579</v>
      </c>
      <c r="W149" s="24" t="s">
        <v>2580</v>
      </c>
      <c r="X149" s="24" t="s">
        <v>62</v>
      </c>
      <c r="Y149" s="24" t="s">
        <v>2581</v>
      </c>
      <c r="Z149" s="24" t="s">
        <v>2582</v>
      </c>
      <c r="AA149" s="24" t="s">
        <v>2575</v>
      </c>
      <c r="AB149" s="24"/>
      <c r="AC149" s="24" t="s">
        <v>285</v>
      </c>
      <c r="AD149" s="24" t="s">
        <v>1143</v>
      </c>
      <c r="AE149" s="24" t="s">
        <v>2583</v>
      </c>
      <c r="AF149" s="24" t="s">
        <v>2573</v>
      </c>
      <c r="AG149" s="24" t="s">
        <v>2584</v>
      </c>
      <c r="AH149" s="24" t="s">
        <v>140</v>
      </c>
      <c r="AI149" s="55" t="s">
        <v>2585</v>
      </c>
      <c r="AJ149" s="24" t="s">
        <v>2586</v>
      </c>
      <c r="AK149" s="24" t="s">
        <v>2568</v>
      </c>
      <c r="AL149" s="24"/>
      <c r="AM149" s="29"/>
      <c r="AN149" s="29"/>
      <c r="AO149" s="29"/>
      <c r="AP149" s="29"/>
      <c r="AQ149" s="29"/>
      <c r="AR149" s="29"/>
      <c r="AS149" s="29"/>
      <c r="AT149" s="29"/>
      <c r="AU149" s="29"/>
      <c r="AV149" s="29"/>
      <c r="AW149" s="29"/>
      <c r="AX149" s="29"/>
      <c r="AY149" s="29"/>
      <c r="AZ149" s="29"/>
      <c r="BA149" s="29"/>
      <c r="BB149" s="29"/>
      <c r="BC149" s="29"/>
      <c r="BD149" s="29"/>
      <c r="BE149" s="29"/>
      <c r="BF149" s="29"/>
    </row>
    <row r="150" ht="60.0" customHeight="1">
      <c r="A150" s="20" t="s">
        <v>2587</v>
      </c>
      <c r="B150" s="20" t="s">
        <v>2588</v>
      </c>
      <c r="C150" s="20" t="s">
        <v>47</v>
      </c>
      <c r="D150" s="21" t="s">
        <v>2027</v>
      </c>
      <c r="E150" s="20" t="s">
        <v>49</v>
      </c>
      <c r="F150" s="20" t="s">
        <v>2589</v>
      </c>
      <c r="G150" s="20"/>
      <c r="H150" s="23"/>
      <c r="I150" s="54">
        <f>'17025 SAL'!$H150+$AN$1</f>
        <v>1460</v>
      </c>
      <c r="J150" s="20"/>
      <c r="K150" s="20"/>
      <c r="L150" s="20" t="s">
        <v>2590</v>
      </c>
      <c r="M150" s="26" t="s">
        <v>2591</v>
      </c>
      <c r="N150" s="34" t="s">
        <v>2592</v>
      </c>
      <c r="O150" s="20" t="s">
        <v>2593</v>
      </c>
      <c r="P150" s="20" t="s">
        <v>2594</v>
      </c>
      <c r="Q150" s="20" t="s">
        <v>55</v>
      </c>
      <c r="R150" s="20" t="s">
        <v>2595</v>
      </c>
      <c r="S150" s="20" t="s">
        <v>2302</v>
      </c>
      <c r="T150" s="20" t="s">
        <v>2596</v>
      </c>
      <c r="U150" s="34" t="s">
        <v>2597</v>
      </c>
      <c r="V150" s="20" t="s">
        <v>2598</v>
      </c>
      <c r="W150" s="20" t="s">
        <v>2599</v>
      </c>
      <c r="X150" s="20" t="s">
        <v>957</v>
      </c>
      <c r="Y150" s="20" t="s">
        <v>85</v>
      </c>
      <c r="Z150" s="20" t="s">
        <v>2194</v>
      </c>
      <c r="AA150" s="20" t="s">
        <v>2600</v>
      </c>
      <c r="AB150" s="20"/>
      <c r="AC150" s="20" t="s">
        <v>2601</v>
      </c>
      <c r="AD150" s="20" t="s">
        <v>2602</v>
      </c>
      <c r="AE150" s="20" t="s">
        <v>2603</v>
      </c>
      <c r="AF150" s="20" t="s">
        <v>2604</v>
      </c>
      <c r="AG150" s="20" t="s">
        <v>2600</v>
      </c>
      <c r="AH150" s="20" t="s">
        <v>2594</v>
      </c>
      <c r="AI150" s="34" t="s">
        <v>2605</v>
      </c>
      <c r="AJ150" s="20" t="s">
        <v>2606</v>
      </c>
      <c r="AK150" s="20" t="s">
        <v>2587</v>
      </c>
      <c r="AL150" s="20"/>
      <c r="AM150" s="88"/>
      <c r="AN150" s="88"/>
      <c r="AO150" s="88"/>
      <c r="AP150" s="88"/>
      <c r="AQ150" s="88"/>
      <c r="AR150" s="88"/>
      <c r="AS150" s="88"/>
      <c r="AT150" s="88"/>
      <c r="AU150" s="88"/>
      <c r="AV150" s="88"/>
      <c r="AW150" s="88"/>
      <c r="AX150" s="29"/>
      <c r="AY150" s="29"/>
      <c r="AZ150" s="29"/>
      <c r="BA150" s="29"/>
      <c r="BB150" s="29"/>
      <c r="BC150" s="29"/>
      <c r="BD150" s="29"/>
      <c r="BE150" s="29"/>
      <c r="BF150" s="29"/>
    </row>
    <row r="151" ht="60.0" customHeight="1">
      <c r="A151" s="24" t="s">
        <v>2607</v>
      </c>
      <c r="B151" s="24" t="s">
        <v>2607</v>
      </c>
      <c r="C151" s="24" t="s">
        <v>47</v>
      </c>
      <c r="D151" s="21" t="s">
        <v>2027</v>
      </c>
      <c r="E151" s="24" t="s">
        <v>49</v>
      </c>
      <c r="F151" s="24" t="s">
        <v>2608</v>
      </c>
      <c r="G151" s="24"/>
      <c r="H151" s="24"/>
      <c r="I151" s="54">
        <f>'17025 SAL'!$H151+$AN$1</f>
        <v>1460</v>
      </c>
      <c r="J151" s="24"/>
      <c r="K151" s="24"/>
      <c r="L151" s="26" t="s">
        <v>2609</v>
      </c>
      <c r="M151" s="24" t="s">
        <v>2610</v>
      </c>
      <c r="N151" s="24" t="s">
        <v>140</v>
      </c>
      <c r="O151" s="24" t="s">
        <v>2611</v>
      </c>
      <c r="P151" s="24" t="s">
        <v>140</v>
      </c>
      <c r="Q151" s="24" t="s">
        <v>2612</v>
      </c>
      <c r="R151" s="24" t="s">
        <v>2613</v>
      </c>
      <c r="S151" s="24" t="s">
        <v>2614</v>
      </c>
      <c r="T151" s="24" t="s">
        <v>2615</v>
      </c>
      <c r="U151" s="24" t="s">
        <v>140</v>
      </c>
      <c r="V151" s="24" t="s">
        <v>2616</v>
      </c>
      <c r="W151" s="24" t="s">
        <v>2617</v>
      </c>
      <c r="X151" s="24" t="s">
        <v>62</v>
      </c>
      <c r="Y151" s="24" t="s">
        <v>2618</v>
      </c>
      <c r="Z151" s="24" t="s">
        <v>2619</v>
      </c>
      <c r="AA151" s="24" t="s">
        <v>2613</v>
      </c>
      <c r="AB151" s="24"/>
      <c r="AC151" s="24" t="s">
        <v>67</v>
      </c>
      <c r="AD151" s="24" t="s">
        <v>2620</v>
      </c>
      <c r="AE151" s="24" t="s">
        <v>2621</v>
      </c>
      <c r="AF151" s="24" t="s">
        <v>2622</v>
      </c>
      <c r="AG151" s="24" t="s">
        <v>2613</v>
      </c>
      <c r="AH151" s="24" t="s">
        <v>140</v>
      </c>
      <c r="AI151" s="24" t="s">
        <v>2623</v>
      </c>
      <c r="AJ151" s="24" t="s">
        <v>2624</v>
      </c>
      <c r="AK151" s="24" t="s">
        <v>2607</v>
      </c>
      <c r="AL151" s="89"/>
      <c r="AM151" s="87"/>
      <c r="AN151" s="29"/>
      <c r="AO151" s="29"/>
      <c r="AP151" s="29"/>
      <c r="AQ151" s="29"/>
      <c r="AR151" s="29"/>
      <c r="AS151" s="29"/>
      <c r="AT151" s="29"/>
      <c r="AU151" s="29"/>
      <c r="AV151" s="29"/>
      <c r="AW151" s="29"/>
      <c r="AX151" s="29"/>
      <c r="AY151" s="29"/>
      <c r="AZ151" s="29"/>
      <c r="BA151" s="29"/>
      <c r="BB151" s="29"/>
      <c r="BC151" s="29"/>
      <c r="BD151" s="29"/>
      <c r="BE151" s="29"/>
      <c r="BF151" s="29"/>
    </row>
    <row r="152" ht="60.0" customHeight="1">
      <c r="A152" s="20" t="s">
        <v>2625</v>
      </c>
      <c r="B152" s="20" t="s">
        <v>2626</v>
      </c>
      <c r="C152" s="20" t="s">
        <v>231</v>
      </c>
      <c r="D152" s="21" t="s">
        <v>48</v>
      </c>
      <c r="E152" s="20" t="s">
        <v>49</v>
      </c>
      <c r="F152" s="20" t="s">
        <v>2627</v>
      </c>
      <c r="G152" s="20" t="s">
        <v>2627</v>
      </c>
      <c r="H152" s="23">
        <v>43896.0</v>
      </c>
      <c r="I152" s="23">
        <f>'17025 SAL'!$H152+$AN$1</f>
        <v>45356</v>
      </c>
      <c r="J152" s="23">
        <v>44341.0</v>
      </c>
      <c r="K152" s="20"/>
      <c r="L152" s="20" t="s">
        <v>2628</v>
      </c>
      <c r="M152" s="24" t="s">
        <v>2629</v>
      </c>
      <c r="N152" s="24" t="s">
        <v>2630</v>
      </c>
      <c r="O152" s="20" t="s">
        <v>2631</v>
      </c>
      <c r="P152" s="20" t="s">
        <v>140</v>
      </c>
      <c r="Q152" s="20" t="s">
        <v>55</v>
      </c>
      <c r="R152" s="20" t="s">
        <v>2632</v>
      </c>
      <c r="S152" s="20" t="s">
        <v>2302</v>
      </c>
      <c r="T152" s="20" t="s">
        <v>2633</v>
      </c>
      <c r="U152" s="34" t="s">
        <v>2634</v>
      </c>
      <c r="V152" s="20" t="s">
        <v>2635</v>
      </c>
      <c r="W152" s="20" t="s">
        <v>2636</v>
      </c>
      <c r="X152" s="20" t="s">
        <v>62</v>
      </c>
      <c r="Y152" s="20" t="s">
        <v>85</v>
      </c>
      <c r="Z152" s="20" t="s">
        <v>2194</v>
      </c>
      <c r="AA152" s="20" t="s">
        <v>2632</v>
      </c>
      <c r="AB152" s="20"/>
      <c r="AC152" s="20" t="s">
        <v>285</v>
      </c>
      <c r="AD152" s="20" t="s">
        <v>2620</v>
      </c>
      <c r="AE152" s="20" t="s">
        <v>2637</v>
      </c>
      <c r="AF152" s="20" t="s">
        <v>2638</v>
      </c>
      <c r="AG152" s="20" t="s">
        <v>2632</v>
      </c>
      <c r="AH152" s="20" t="s">
        <v>140</v>
      </c>
      <c r="AI152" s="34" t="s">
        <v>2639</v>
      </c>
      <c r="AJ152" s="20" t="s">
        <v>2640</v>
      </c>
      <c r="AK152" s="20" t="s">
        <v>2626</v>
      </c>
      <c r="AL152" s="86"/>
      <c r="AM152" s="87"/>
      <c r="AN152" s="29"/>
      <c r="AO152" s="29"/>
      <c r="AP152" s="29"/>
      <c r="AQ152" s="29"/>
      <c r="AR152" s="29"/>
      <c r="AS152" s="29"/>
      <c r="AT152" s="29"/>
      <c r="AU152" s="29"/>
      <c r="AV152" s="29"/>
      <c r="AW152" s="29"/>
      <c r="AX152" s="29"/>
      <c r="AY152" s="29"/>
      <c r="AZ152" s="29"/>
      <c r="BA152" s="29"/>
      <c r="BB152" s="29"/>
      <c r="BC152" s="29"/>
      <c r="BD152" s="29"/>
      <c r="BE152" s="29"/>
      <c r="BF152" s="29"/>
    </row>
    <row r="153" ht="60.0" customHeight="1">
      <c r="A153" s="20" t="s">
        <v>2641</v>
      </c>
      <c r="B153" s="20" t="s">
        <v>2641</v>
      </c>
      <c r="C153" s="20" t="s">
        <v>47</v>
      </c>
      <c r="D153" s="21" t="s">
        <v>2027</v>
      </c>
      <c r="E153" s="20" t="s">
        <v>49</v>
      </c>
      <c r="F153" s="20" t="s">
        <v>2642</v>
      </c>
      <c r="G153" s="20"/>
      <c r="H153" s="23"/>
      <c r="I153" s="23">
        <f>'17025 SAL'!$H153+$AN$1</f>
        <v>1460</v>
      </c>
      <c r="J153" s="20"/>
      <c r="K153" s="20"/>
      <c r="L153" s="20" t="s">
        <v>2643</v>
      </c>
      <c r="M153" s="24" t="s">
        <v>2644</v>
      </c>
      <c r="N153" s="24" t="s">
        <v>2645</v>
      </c>
      <c r="O153" s="20">
        <v>5.216602323E9</v>
      </c>
      <c r="P153" s="20"/>
      <c r="Q153" s="20"/>
      <c r="R153" s="20"/>
      <c r="S153" s="20"/>
      <c r="T153" s="20"/>
      <c r="U153" s="34"/>
      <c r="V153" s="20"/>
      <c r="W153" s="20"/>
      <c r="X153" s="20"/>
      <c r="Y153" s="20"/>
      <c r="Z153" s="20"/>
      <c r="AA153" s="20"/>
      <c r="AB153" s="20"/>
      <c r="AC153" s="20"/>
      <c r="AD153" s="20"/>
      <c r="AE153" s="20"/>
      <c r="AF153" s="20"/>
      <c r="AG153" s="20"/>
      <c r="AH153" s="20"/>
      <c r="AI153" s="34"/>
      <c r="AJ153" s="20"/>
      <c r="AK153" s="20"/>
      <c r="AL153" s="86"/>
      <c r="AM153" s="90"/>
      <c r="AN153" s="88"/>
      <c r="AO153" s="88"/>
      <c r="AP153" s="88"/>
      <c r="AQ153" s="88"/>
      <c r="AR153" s="88"/>
      <c r="AS153" s="88"/>
      <c r="AT153" s="88"/>
      <c r="AU153" s="88"/>
      <c r="AV153" s="88"/>
      <c r="AW153" s="88"/>
      <c r="AX153" s="29"/>
      <c r="AY153" s="29"/>
      <c r="AZ153" s="29"/>
      <c r="BA153" s="29"/>
      <c r="BB153" s="29"/>
      <c r="BC153" s="29"/>
      <c r="BD153" s="29"/>
      <c r="BE153" s="29"/>
      <c r="BF153" s="29"/>
    </row>
    <row r="154" ht="60.0" customHeight="1">
      <c r="A154" s="20" t="s">
        <v>2646</v>
      </c>
      <c r="B154" s="20" t="s">
        <v>2647</v>
      </c>
      <c r="C154" s="20" t="s">
        <v>47</v>
      </c>
      <c r="D154" s="21" t="s">
        <v>48</v>
      </c>
      <c r="E154" s="20" t="s">
        <v>49</v>
      </c>
      <c r="F154" s="20" t="s">
        <v>2648</v>
      </c>
      <c r="G154" s="20" t="s">
        <v>2648</v>
      </c>
      <c r="H154" s="23">
        <v>43908.0</v>
      </c>
      <c r="I154" s="23">
        <f>'17025 SAL'!$H154+$AN$1</f>
        <v>45368</v>
      </c>
      <c r="J154" s="23">
        <v>44524.0</v>
      </c>
      <c r="K154" s="20"/>
      <c r="L154" s="20" t="s">
        <v>2649</v>
      </c>
      <c r="M154" s="34" t="s">
        <v>2650</v>
      </c>
      <c r="N154" s="24" t="s">
        <v>2651</v>
      </c>
      <c r="O154" s="20" t="s">
        <v>2652</v>
      </c>
      <c r="P154" s="20" t="s">
        <v>324</v>
      </c>
      <c r="Q154" s="20" t="s">
        <v>55</v>
      </c>
      <c r="R154" s="20" t="s">
        <v>2653</v>
      </c>
      <c r="S154" s="20" t="s">
        <v>490</v>
      </c>
      <c r="T154" s="20" t="s">
        <v>2654</v>
      </c>
      <c r="U154" s="34" t="s">
        <v>2655</v>
      </c>
      <c r="V154" s="20" t="s">
        <v>2656</v>
      </c>
      <c r="W154" s="20" t="s">
        <v>2657</v>
      </c>
      <c r="X154" s="20" t="s">
        <v>304</v>
      </c>
      <c r="Y154" s="20" t="s">
        <v>63</v>
      </c>
      <c r="Z154" s="20" t="s">
        <v>2658</v>
      </c>
      <c r="AA154" s="20" t="s">
        <v>2659</v>
      </c>
      <c r="AB154" s="26" t="s">
        <v>2651</v>
      </c>
      <c r="AC154" s="20" t="s">
        <v>2660</v>
      </c>
      <c r="AD154" s="20" t="s">
        <v>2661</v>
      </c>
      <c r="AE154" s="20" t="s">
        <v>2662</v>
      </c>
      <c r="AF154" s="20" t="s">
        <v>2652</v>
      </c>
      <c r="AG154" s="20" t="s">
        <v>2663</v>
      </c>
      <c r="AH154" s="20" t="s">
        <v>324</v>
      </c>
      <c r="AI154" s="20" t="s">
        <v>2664</v>
      </c>
      <c r="AJ154" s="20" t="s">
        <v>2665</v>
      </c>
      <c r="AK154" s="20" t="s">
        <v>2666</v>
      </c>
      <c r="AL154" s="20"/>
      <c r="AM154" s="29"/>
      <c r="AN154" s="29"/>
      <c r="AO154" s="29"/>
      <c r="AP154" s="29"/>
      <c r="AQ154" s="29"/>
      <c r="AR154" s="29"/>
      <c r="AS154" s="29"/>
      <c r="AT154" s="29"/>
      <c r="AU154" s="29"/>
      <c r="AV154" s="29"/>
      <c r="AW154" s="29"/>
      <c r="AX154" s="29"/>
      <c r="AY154" s="29"/>
      <c r="AZ154" s="29"/>
      <c r="BA154" s="29"/>
      <c r="BB154" s="29"/>
      <c r="BC154" s="29"/>
      <c r="BD154" s="29"/>
      <c r="BE154" s="29"/>
      <c r="BF154" s="29"/>
    </row>
    <row r="155" ht="60.0" customHeight="1">
      <c r="A155" s="20" t="s">
        <v>2667</v>
      </c>
      <c r="B155" s="20" t="s">
        <v>2667</v>
      </c>
      <c r="C155" s="20" t="s">
        <v>47</v>
      </c>
      <c r="D155" s="21" t="s">
        <v>48</v>
      </c>
      <c r="E155" s="20" t="s">
        <v>49</v>
      </c>
      <c r="F155" s="20" t="s">
        <v>2668</v>
      </c>
      <c r="G155" s="20" t="s">
        <v>2668</v>
      </c>
      <c r="H155" s="23">
        <v>45681.0</v>
      </c>
      <c r="I155" s="23" t="s">
        <v>140</v>
      </c>
      <c r="J155" s="23">
        <v>44183.0</v>
      </c>
      <c r="K155" s="20"/>
      <c r="L155" s="20" t="s">
        <v>2669</v>
      </c>
      <c r="M155" s="24" t="s">
        <v>2670</v>
      </c>
      <c r="N155" s="31" t="s">
        <v>2671</v>
      </c>
      <c r="O155" s="20" t="s">
        <v>2672</v>
      </c>
      <c r="P155" s="20" t="s">
        <v>140</v>
      </c>
      <c r="Q155" s="20" t="s">
        <v>55</v>
      </c>
      <c r="R155" s="20" t="s">
        <v>2673</v>
      </c>
      <c r="S155" s="20" t="s">
        <v>57</v>
      </c>
      <c r="T155" s="20" t="s">
        <v>2674</v>
      </c>
      <c r="U155" s="34" t="s">
        <v>2675</v>
      </c>
      <c r="V155" s="20" t="s">
        <v>2676</v>
      </c>
      <c r="W155" s="20" t="s">
        <v>2677</v>
      </c>
      <c r="X155" s="20" t="s">
        <v>62</v>
      </c>
      <c r="Y155" s="20" t="s">
        <v>63</v>
      </c>
      <c r="Z155" s="20" t="s">
        <v>2678</v>
      </c>
      <c r="AA155" s="20" t="s">
        <v>2679</v>
      </c>
      <c r="AB155" s="20"/>
      <c r="AC155" s="20" t="s">
        <v>2680</v>
      </c>
      <c r="AD155" s="20" t="s">
        <v>2681</v>
      </c>
      <c r="AE155" s="20" t="s">
        <v>2682</v>
      </c>
      <c r="AF155" s="20" t="s">
        <v>2683</v>
      </c>
      <c r="AG155" s="20" t="s">
        <v>2684</v>
      </c>
      <c r="AH155" s="20" t="s">
        <v>324</v>
      </c>
      <c r="AI155" s="34" t="s">
        <v>2685</v>
      </c>
      <c r="AJ155" s="20" t="s">
        <v>2686</v>
      </c>
      <c r="AK155" s="20" t="s">
        <v>2687</v>
      </c>
      <c r="AL155" s="20"/>
      <c r="AM155" s="29"/>
      <c r="AN155" s="29"/>
      <c r="AO155" s="29"/>
      <c r="AP155" s="29"/>
      <c r="AQ155" s="29"/>
      <c r="AR155" s="29"/>
      <c r="AS155" s="29"/>
      <c r="AT155" s="29"/>
      <c r="AU155" s="29"/>
      <c r="AV155" s="29"/>
      <c r="AW155" s="29"/>
      <c r="AX155" s="29"/>
      <c r="AY155" s="29"/>
      <c r="AZ155" s="29"/>
      <c r="BA155" s="29"/>
      <c r="BB155" s="29"/>
      <c r="BC155" s="29"/>
      <c r="BD155" s="29"/>
      <c r="BE155" s="29"/>
      <c r="BF155" s="29"/>
    </row>
    <row r="156" ht="60.0" customHeight="1">
      <c r="A156" s="24" t="s">
        <v>2688</v>
      </c>
      <c r="B156" s="24" t="s">
        <v>2688</v>
      </c>
      <c r="C156" s="24" t="s">
        <v>231</v>
      </c>
      <c r="D156" s="21" t="s">
        <v>2027</v>
      </c>
      <c r="E156" s="24" t="s">
        <v>49</v>
      </c>
      <c r="F156" s="24" t="s">
        <v>2689</v>
      </c>
      <c r="G156" s="24"/>
      <c r="H156" s="23"/>
      <c r="I156" s="23">
        <f>'17025 SAL'!$H156+$AN$1</f>
        <v>1460</v>
      </c>
      <c r="J156" s="24"/>
      <c r="K156" s="24"/>
      <c r="L156" s="26" t="s">
        <v>2690</v>
      </c>
      <c r="M156" s="71" t="s">
        <v>2691</v>
      </c>
      <c r="N156" s="65"/>
      <c r="O156" s="24" t="s">
        <v>2692</v>
      </c>
      <c r="P156" s="24" t="s">
        <v>140</v>
      </c>
      <c r="Q156" s="24" t="s">
        <v>55</v>
      </c>
      <c r="R156" s="24" t="s">
        <v>2693</v>
      </c>
      <c r="S156" s="24" t="s">
        <v>979</v>
      </c>
      <c r="T156" s="24" t="s">
        <v>2694</v>
      </c>
      <c r="U156" s="24" t="s">
        <v>2695</v>
      </c>
      <c r="V156" s="24" t="s">
        <v>2696</v>
      </c>
      <c r="W156" s="24" t="s">
        <v>2697</v>
      </c>
      <c r="X156" s="24" t="s">
        <v>326</v>
      </c>
      <c r="Y156" s="24" t="s">
        <v>63</v>
      </c>
      <c r="Z156" s="24" t="s">
        <v>2698</v>
      </c>
      <c r="AA156" s="24" t="s">
        <v>2693</v>
      </c>
      <c r="AB156" s="24"/>
      <c r="AC156" s="24" t="s">
        <v>1055</v>
      </c>
      <c r="AD156" s="24"/>
      <c r="AE156" s="24" t="s">
        <v>2696</v>
      </c>
      <c r="AF156" s="24" t="s">
        <v>2699</v>
      </c>
      <c r="AG156" s="24" t="s">
        <v>2693</v>
      </c>
      <c r="AH156" s="24" t="s">
        <v>324</v>
      </c>
      <c r="AI156" s="24" t="s">
        <v>2700</v>
      </c>
      <c r="AJ156" s="24" t="s">
        <v>2701</v>
      </c>
      <c r="AK156" s="24" t="s">
        <v>2702</v>
      </c>
      <c r="AL156" s="24"/>
      <c r="AM156" s="29"/>
      <c r="AN156" s="29"/>
      <c r="AO156" s="29"/>
      <c r="AP156" s="29"/>
      <c r="AQ156" s="29"/>
      <c r="AR156" s="29"/>
      <c r="AS156" s="29"/>
      <c r="AT156" s="29"/>
      <c r="AU156" s="29"/>
      <c r="AV156" s="29"/>
      <c r="AW156" s="29"/>
      <c r="AX156" s="29"/>
      <c r="AY156" s="29"/>
      <c r="AZ156" s="29"/>
      <c r="BA156" s="29"/>
      <c r="BB156" s="29"/>
      <c r="BC156" s="29"/>
      <c r="BD156" s="29"/>
      <c r="BE156" s="29"/>
      <c r="BF156" s="29"/>
    </row>
    <row r="157" ht="60.0" customHeight="1">
      <c r="A157" s="20" t="s">
        <v>2703</v>
      </c>
      <c r="B157" s="20" t="s">
        <v>2704</v>
      </c>
      <c r="C157" s="20" t="s">
        <v>47</v>
      </c>
      <c r="D157" s="21" t="s">
        <v>48</v>
      </c>
      <c r="E157" s="20" t="s">
        <v>49</v>
      </c>
      <c r="F157" s="20" t="s">
        <v>2705</v>
      </c>
      <c r="G157" s="20" t="s">
        <v>2705</v>
      </c>
      <c r="H157" s="23">
        <v>45749.0</v>
      </c>
      <c r="I157" s="23" t="s">
        <v>140</v>
      </c>
      <c r="J157" s="23">
        <v>44524.0</v>
      </c>
      <c r="K157" s="20"/>
      <c r="L157" s="20" t="s">
        <v>2706</v>
      </c>
      <c r="M157" s="24" t="s">
        <v>2707</v>
      </c>
      <c r="N157" s="24" t="s">
        <v>2708</v>
      </c>
      <c r="O157" s="20" t="s">
        <v>2106</v>
      </c>
      <c r="P157" s="20" t="s">
        <v>2709</v>
      </c>
      <c r="Q157" s="20" t="s">
        <v>55</v>
      </c>
      <c r="R157" s="20" t="s">
        <v>2710</v>
      </c>
      <c r="S157" s="20" t="s">
        <v>57</v>
      </c>
      <c r="T157" s="20" t="s">
        <v>2109</v>
      </c>
      <c r="U157" s="24" t="s">
        <v>2711</v>
      </c>
      <c r="V157" s="20" t="s">
        <v>2110</v>
      </c>
      <c r="W157" s="20" t="s">
        <v>2712</v>
      </c>
      <c r="X157" s="20" t="s">
        <v>529</v>
      </c>
      <c r="Y157" s="20" t="s">
        <v>63</v>
      </c>
      <c r="Z157" s="20" t="s">
        <v>411</v>
      </c>
      <c r="AA157" s="20" t="s">
        <v>2710</v>
      </c>
      <c r="AB157" s="20"/>
      <c r="AC157" s="20" t="s">
        <v>2713</v>
      </c>
      <c r="AD157" s="20" t="s">
        <v>2714</v>
      </c>
      <c r="AE157" s="20" t="s">
        <v>2715</v>
      </c>
      <c r="AF157" s="20" t="s">
        <v>2106</v>
      </c>
      <c r="AG157" s="20" t="s">
        <v>2710</v>
      </c>
      <c r="AH157" s="20" t="s">
        <v>2709</v>
      </c>
      <c r="AI157" s="34" t="s">
        <v>2716</v>
      </c>
      <c r="AJ157" s="20" t="s">
        <v>2717</v>
      </c>
      <c r="AK157" s="20" t="s">
        <v>2704</v>
      </c>
      <c r="AL157" s="20"/>
      <c r="AM157" s="29"/>
      <c r="AN157" s="29"/>
      <c r="AO157" s="29"/>
      <c r="AP157" s="29"/>
      <c r="AQ157" s="29"/>
      <c r="AR157" s="29"/>
      <c r="AS157" s="29"/>
      <c r="AT157" s="29"/>
      <c r="AU157" s="29"/>
      <c r="AV157" s="29"/>
      <c r="AW157" s="29"/>
      <c r="AX157" s="16"/>
      <c r="AY157" s="16"/>
      <c r="AZ157" s="16"/>
      <c r="BA157" s="16"/>
      <c r="BB157" s="16"/>
      <c r="BC157" s="16"/>
      <c r="BD157" s="16"/>
      <c r="BE157" s="16"/>
      <c r="BF157" s="16"/>
    </row>
    <row r="158" ht="60.0" customHeight="1">
      <c r="A158" s="24"/>
      <c r="B158" s="24" t="s">
        <v>2718</v>
      </c>
      <c r="C158" s="24" t="s">
        <v>47</v>
      </c>
      <c r="D158" s="21" t="s">
        <v>2027</v>
      </c>
      <c r="E158" s="24" t="s">
        <v>49</v>
      </c>
      <c r="F158" s="24" t="s">
        <v>2719</v>
      </c>
      <c r="G158" s="24"/>
      <c r="H158" s="23"/>
      <c r="I158" s="23">
        <f>'17025 SAL'!$H158+$AN$1</f>
        <v>1460</v>
      </c>
      <c r="J158" s="24"/>
      <c r="K158" s="24"/>
      <c r="L158" s="24" t="s">
        <v>2720</v>
      </c>
      <c r="M158" s="26" t="s">
        <v>2721</v>
      </c>
      <c r="N158" s="26" t="s">
        <v>2722</v>
      </c>
      <c r="O158" s="24">
        <v>2.76804E7</v>
      </c>
      <c r="P158" s="24" t="s">
        <v>324</v>
      </c>
      <c r="Q158" s="24" t="s">
        <v>55</v>
      </c>
      <c r="R158" s="24" t="s">
        <v>2723</v>
      </c>
      <c r="S158" s="24" t="s">
        <v>1570</v>
      </c>
      <c r="T158" s="24">
        <v>3.101665744E9</v>
      </c>
      <c r="U158" s="24" t="s">
        <v>2724</v>
      </c>
      <c r="V158" s="24" t="s">
        <v>2725</v>
      </c>
      <c r="W158" s="24" t="s">
        <v>2726</v>
      </c>
      <c r="X158" s="24" t="s">
        <v>2727</v>
      </c>
      <c r="Y158" s="24" t="s">
        <v>85</v>
      </c>
      <c r="Z158" s="24" t="s">
        <v>2728</v>
      </c>
      <c r="AA158" s="24" t="s">
        <v>2723</v>
      </c>
      <c r="AB158" s="24"/>
      <c r="AC158" s="24" t="s">
        <v>2546</v>
      </c>
      <c r="AD158" s="24" t="s">
        <v>1143</v>
      </c>
      <c r="AE158" s="24" t="s">
        <v>2729</v>
      </c>
      <c r="AF158" s="24">
        <v>2.76804E7</v>
      </c>
      <c r="AG158" s="24" t="s">
        <v>2723</v>
      </c>
      <c r="AH158" s="24" t="s">
        <v>324</v>
      </c>
      <c r="AI158" s="24" t="s">
        <v>2730</v>
      </c>
      <c r="AJ158" s="24" t="s">
        <v>2731</v>
      </c>
      <c r="AK158" s="24" t="s">
        <v>2732</v>
      </c>
      <c r="AL158" s="24"/>
      <c r="AM158" s="29"/>
      <c r="AN158" s="29"/>
      <c r="AO158" s="29"/>
      <c r="AP158" s="29"/>
      <c r="AQ158" s="29"/>
      <c r="AR158" s="29"/>
      <c r="AS158" s="29"/>
      <c r="AT158" s="29"/>
      <c r="AU158" s="29"/>
      <c r="AV158" s="29"/>
      <c r="AW158" s="29"/>
      <c r="AX158" s="29"/>
      <c r="AY158" s="29"/>
      <c r="AZ158" s="29"/>
      <c r="BA158" s="29"/>
      <c r="BB158" s="29"/>
      <c r="BC158" s="29"/>
      <c r="BD158" s="29"/>
      <c r="BE158" s="29"/>
      <c r="BF158" s="29"/>
    </row>
    <row r="159" ht="60.0" customHeight="1">
      <c r="A159" s="20" t="s">
        <v>2733</v>
      </c>
      <c r="B159" s="20" t="s">
        <v>1938</v>
      </c>
      <c r="C159" s="20" t="s">
        <v>231</v>
      </c>
      <c r="D159" s="21" t="s">
        <v>48</v>
      </c>
      <c r="E159" s="20" t="s">
        <v>2734</v>
      </c>
      <c r="F159" s="20" t="s">
        <v>2735</v>
      </c>
      <c r="G159" s="20" t="s">
        <v>2735</v>
      </c>
      <c r="H159" s="23">
        <v>44459.0</v>
      </c>
      <c r="I159" s="23">
        <f>'17025 SAL'!$H159+$AN$1</f>
        <v>45919</v>
      </c>
      <c r="J159" s="23">
        <v>44852.0</v>
      </c>
      <c r="K159" s="20"/>
      <c r="L159" s="20" t="s">
        <v>1959</v>
      </c>
      <c r="M159" s="24" t="s">
        <v>1960</v>
      </c>
      <c r="N159" s="24" t="s">
        <v>2736</v>
      </c>
      <c r="O159" s="39">
        <v>2.1062828E7</v>
      </c>
      <c r="P159" s="20" t="s">
        <v>324</v>
      </c>
      <c r="Q159" s="20" t="s">
        <v>55</v>
      </c>
      <c r="R159" s="20" t="s">
        <v>2737</v>
      </c>
      <c r="S159" s="20" t="s">
        <v>979</v>
      </c>
      <c r="T159" s="20" t="s">
        <v>1947</v>
      </c>
      <c r="U159" s="24" t="s">
        <v>2738</v>
      </c>
      <c r="V159" s="20" t="s">
        <v>2739</v>
      </c>
      <c r="W159" s="20" t="s">
        <v>2740</v>
      </c>
      <c r="X159" s="20" t="s">
        <v>326</v>
      </c>
      <c r="Y159" s="20" t="s">
        <v>264</v>
      </c>
      <c r="Z159" s="20" t="s">
        <v>2741</v>
      </c>
      <c r="AA159" s="20" t="s">
        <v>2742</v>
      </c>
      <c r="AB159" s="20"/>
      <c r="AC159" s="20" t="s">
        <v>1865</v>
      </c>
      <c r="AD159" s="20" t="s">
        <v>2743</v>
      </c>
      <c r="AE159" s="20" t="s">
        <v>2744</v>
      </c>
      <c r="AF159" s="39">
        <v>2.2106398E7</v>
      </c>
      <c r="AG159" s="20" t="s">
        <v>2745</v>
      </c>
      <c r="AH159" s="20" t="s">
        <v>324</v>
      </c>
      <c r="AI159" s="34" t="s">
        <v>2746</v>
      </c>
      <c r="AJ159" s="20" t="s">
        <v>2747</v>
      </c>
      <c r="AK159" s="20" t="s">
        <v>1938</v>
      </c>
      <c r="AL159" s="20"/>
      <c r="AM159" s="29"/>
      <c r="AN159" s="29"/>
      <c r="AO159" s="29"/>
      <c r="AP159" s="29"/>
      <c r="AQ159" s="29"/>
      <c r="AR159" s="29"/>
      <c r="AS159" s="29"/>
      <c r="AT159" s="29"/>
      <c r="AU159" s="29"/>
      <c r="AV159" s="29"/>
      <c r="AW159" s="29"/>
      <c r="AX159" s="29"/>
      <c r="AY159" s="29"/>
      <c r="AZ159" s="29"/>
      <c r="BA159" s="29"/>
      <c r="BB159" s="29"/>
      <c r="BC159" s="29"/>
      <c r="BD159" s="29"/>
      <c r="BE159" s="29"/>
      <c r="BF159" s="29"/>
    </row>
    <row r="160" ht="60.0" customHeight="1">
      <c r="A160" s="20" t="s">
        <v>2748</v>
      </c>
      <c r="B160" s="20" t="s">
        <v>2748</v>
      </c>
      <c r="C160" s="20" t="s">
        <v>47</v>
      </c>
      <c r="D160" s="21" t="s">
        <v>2027</v>
      </c>
      <c r="E160" s="20" t="s">
        <v>49</v>
      </c>
      <c r="F160" s="20" t="s">
        <v>2749</v>
      </c>
      <c r="G160" s="20" t="s">
        <v>2750</v>
      </c>
      <c r="H160" s="23"/>
      <c r="I160" s="23">
        <f>'17025 SAL'!$H160+$AN$1</f>
        <v>1460</v>
      </c>
      <c r="J160" s="20"/>
      <c r="K160" s="20"/>
      <c r="L160" s="20" t="s">
        <v>2751</v>
      </c>
      <c r="M160" s="26" t="s">
        <v>2752</v>
      </c>
      <c r="N160" s="68"/>
      <c r="O160" s="39" t="s">
        <v>2753</v>
      </c>
      <c r="P160" s="20" t="s">
        <v>324</v>
      </c>
      <c r="Q160" s="20" t="s">
        <v>55</v>
      </c>
      <c r="R160" s="20" t="s">
        <v>2754</v>
      </c>
      <c r="S160" s="20" t="s">
        <v>57</v>
      </c>
      <c r="T160" s="20" t="s">
        <v>2755</v>
      </c>
      <c r="U160" s="24" t="s">
        <v>76</v>
      </c>
      <c r="V160" s="20" t="s">
        <v>2756</v>
      </c>
      <c r="W160" s="20" t="s">
        <v>2757</v>
      </c>
      <c r="X160" s="20" t="s">
        <v>346</v>
      </c>
      <c r="Y160" s="20" t="s">
        <v>264</v>
      </c>
      <c r="Z160" s="20" t="s">
        <v>2758</v>
      </c>
      <c r="AA160" s="20" t="s">
        <v>2754</v>
      </c>
      <c r="AB160" s="20"/>
      <c r="AC160" s="20" t="s">
        <v>2713</v>
      </c>
      <c r="AD160" s="20" t="s">
        <v>2759</v>
      </c>
      <c r="AE160" s="20" t="s">
        <v>2760</v>
      </c>
      <c r="AF160" s="39" t="s">
        <v>2753</v>
      </c>
      <c r="AG160" s="20" t="s">
        <v>2754</v>
      </c>
      <c r="AH160" s="20" t="s">
        <v>324</v>
      </c>
      <c r="AI160" s="34" t="s">
        <v>2761</v>
      </c>
      <c r="AJ160" s="20" t="s">
        <v>2762</v>
      </c>
      <c r="AK160" s="20" t="s">
        <v>2748</v>
      </c>
      <c r="AL160" s="20" t="s">
        <v>2763</v>
      </c>
      <c r="AM160" s="16"/>
      <c r="AN160" s="16"/>
      <c r="AO160" s="16"/>
      <c r="AP160" s="16"/>
      <c r="AQ160" s="16"/>
      <c r="AR160" s="16"/>
      <c r="AS160" s="16"/>
      <c r="AT160" s="16"/>
      <c r="AU160" s="16"/>
      <c r="AV160" s="16"/>
      <c r="AW160" s="16"/>
      <c r="AX160" s="16"/>
      <c r="AY160" s="16"/>
      <c r="AZ160" s="16"/>
      <c r="BA160" s="16"/>
      <c r="BB160" s="16"/>
      <c r="BC160" s="16"/>
      <c r="BD160" s="16"/>
      <c r="BE160" s="16"/>
      <c r="BF160" s="16"/>
    </row>
    <row r="161" ht="60.0" customHeight="1">
      <c r="A161" s="20" t="s">
        <v>2764</v>
      </c>
      <c r="B161" s="20" t="s">
        <v>2765</v>
      </c>
      <c r="C161" s="20" t="s">
        <v>47</v>
      </c>
      <c r="D161" s="21" t="s">
        <v>48</v>
      </c>
      <c r="E161" s="20" t="s">
        <v>49</v>
      </c>
      <c r="F161" s="20" t="s">
        <v>2766</v>
      </c>
      <c r="G161" s="20" t="s">
        <v>2766</v>
      </c>
      <c r="H161" s="23">
        <v>44643.0</v>
      </c>
      <c r="I161" s="23">
        <f>'17025 SAL'!$H161+$AN$1</f>
        <v>46103</v>
      </c>
      <c r="J161" s="23">
        <v>45460.0</v>
      </c>
      <c r="K161" s="20"/>
      <c r="L161" s="20" t="s">
        <v>2767</v>
      </c>
      <c r="M161" s="34" t="s">
        <v>2768</v>
      </c>
      <c r="N161" s="24" t="s">
        <v>2769</v>
      </c>
      <c r="O161" s="39">
        <v>4.00244E7</v>
      </c>
      <c r="P161" s="20" t="s">
        <v>324</v>
      </c>
      <c r="Q161" s="20" t="s">
        <v>55</v>
      </c>
      <c r="R161" s="20" t="s">
        <v>2770</v>
      </c>
      <c r="S161" s="20" t="s">
        <v>549</v>
      </c>
      <c r="T161" s="20" t="s">
        <v>2771</v>
      </c>
      <c r="U161" s="24" t="s">
        <v>324</v>
      </c>
      <c r="V161" s="20" t="s">
        <v>2772</v>
      </c>
      <c r="W161" s="20" t="s">
        <v>2773</v>
      </c>
      <c r="X161" s="20" t="s">
        <v>62</v>
      </c>
      <c r="Y161" s="20" t="s">
        <v>2774</v>
      </c>
      <c r="Z161" s="20" t="s">
        <v>2775</v>
      </c>
      <c r="AA161" s="20" t="s">
        <v>2770</v>
      </c>
      <c r="AB161" s="20"/>
      <c r="AC161" s="20" t="s">
        <v>2776</v>
      </c>
      <c r="AD161" s="20" t="s">
        <v>2777</v>
      </c>
      <c r="AE161" s="20" t="s">
        <v>2778</v>
      </c>
      <c r="AF161" s="39">
        <v>4.00244E7</v>
      </c>
      <c r="AG161" s="20" t="s">
        <v>2770</v>
      </c>
      <c r="AH161" s="20" t="s">
        <v>324</v>
      </c>
      <c r="AI161" s="34" t="s">
        <v>2779</v>
      </c>
      <c r="AJ161" s="20" t="s">
        <v>2780</v>
      </c>
      <c r="AK161" s="20" t="s">
        <v>2781</v>
      </c>
      <c r="AL161" s="20"/>
      <c r="AM161" s="16"/>
      <c r="AN161" s="16"/>
      <c r="AO161" s="16"/>
      <c r="AP161" s="16"/>
      <c r="AQ161" s="16"/>
      <c r="AR161" s="16"/>
      <c r="AS161" s="16"/>
      <c r="AT161" s="16"/>
      <c r="AU161" s="16"/>
      <c r="AV161" s="16"/>
      <c r="AW161" s="16"/>
      <c r="AX161" s="16"/>
      <c r="AY161" s="16"/>
      <c r="AZ161" s="16"/>
      <c r="BA161" s="16"/>
      <c r="BB161" s="16"/>
      <c r="BC161" s="16"/>
      <c r="BD161" s="16"/>
      <c r="BE161" s="16"/>
      <c r="BF161" s="16"/>
    </row>
    <row r="162" ht="60.0" customHeight="1">
      <c r="A162" s="20" t="s">
        <v>2782</v>
      </c>
      <c r="B162" s="20" t="s">
        <v>2783</v>
      </c>
      <c r="C162" s="20" t="s">
        <v>47</v>
      </c>
      <c r="D162" s="21" t="s">
        <v>48</v>
      </c>
      <c r="E162" s="20" t="s">
        <v>2734</v>
      </c>
      <c r="F162" s="20" t="s">
        <v>2784</v>
      </c>
      <c r="G162" s="20" t="s">
        <v>2784</v>
      </c>
      <c r="H162" s="23">
        <v>44914.0</v>
      </c>
      <c r="I162" s="23">
        <f>'17025 SAL'!$H162+$AN$1</f>
        <v>46374</v>
      </c>
      <c r="J162" s="23">
        <v>45980.0</v>
      </c>
      <c r="K162" s="20"/>
      <c r="L162" s="20" t="s">
        <v>2785</v>
      </c>
      <c r="M162" s="26" t="s">
        <v>2786</v>
      </c>
      <c r="N162" s="24" t="s">
        <v>140</v>
      </c>
      <c r="O162" s="39" t="s">
        <v>2787</v>
      </c>
      <c r="P162" s="20" t="s">
        <v>324</v>
      </c>
      <c r="Q162" s="20" t="s">
        <v>55</v>
      </c>
      <c r="R162" s="20" t="s">
        <v>2788</v>
      </c>
      <c r="S162" s="20" t="s">
        <v>57</v>
      </c>
      <c r="T162" s="20" t="s">
        <v>2789</v>
      </c>
      <c r="U162" s="24" t="s">
        <v>324</v>
      </c>
      <c r="V162" s="20" t="s">
        <v>2790</v>
      </c>
      <c r="W162" s="91"/>
      <c r="X162" s="20"/>
      <c r="Y162" s="20" t="s">
        <v>264</v>
      </c>
      <c r="Z162" s="20" t="s">
        <v>411</v>
      </c>
      <c r="AA162" s="20" t="s">
        <v>2788</v>
      </c>
      <c r="AB162" s="20"/>
      <c r="AC162" s="20" t="s">
        <v>2791</v>
      </c>
      <c r="AD162" s="20" t="s">
        <v>2792</v>
      </c>
      <c r="AE162" s="20" t="s">
        <v>2793</v>
      </c>
      <c r="AF162" s="39" t="s">
        <v>2794</v>
      </c>
      <c r="AG162" s="20" t="s">
        <v>2788</v>
      </c>
      <c r="AH162" s="20" t="s">
        <v>324</v>
      </c>
      <c r="AI162" s="34" t="s">
        <v>2795</v>
      </c>
      <c r="AJ162" s="20" t="s">
        <v>2796</v>
      </c>
      <c r="AK162" s="20" t="s">
        <v>2797</v>
      </c>
      <c r="AL162" s="20" t="s">
        <v>2798</v>
      </c>
      <c r="AM162" s="16"/>
      <c r="AN162" s="16"/>
      <c r="AO162" s="16"/>
      <c r="AP162" s="16"/>
      <c r="AQ162" s="16"/>
      <c r="AR162" s="16"/>
      <c r="AS162" s="16"/>
      <c r="AT162" s="16"/>
      <c r="AU162" s="16"/>
      <c r="AV162" s="16"/>
      <c r="AW162" s="16"/>
      <c r="AX162" s="16"/>
      <c r="AY162" s="16"/>
      <c r="AZ162" s="16"/>
      <c r="BA162" s="16"/>
      <c r="BB162" s="16"/>
      <c r="BC162" s="16"/>
      <c r="BD162" s="16"/>
      <c r="BE162" s="16"/>
      <c r="BF162" s="16"/>
    </row>
    <row r="163" ht="60.0" customHeight="1">
      <c r="A163" s="20" t="s">
        <v>2799</v>
      </c>
      <c r="B163" s="20" t="s">
        <v>2799</v>
      </c>
      <c r="C163" s="20" t="s">
        <v>231</v>
      </c>
      <c r="D163" s="21" t="s">
        <v>48</v>
      </c>
      <c r="E163" s="20" t="s">
        <v>49</v>
      </c>
      <c r="F163" s="20" t="s">
        <v>2800</v>
      </c>
      <c r="G163" s="20" t="s">
        <v>2800</v>
      </c>
      <c r="H163" s="23">
        <v>44649.0</v>
      </c>
      <c r="I163" s="23">
        <f>'17025 SAL'!$H163+$AN$1</f>
        <v>46109</v>
      </c>
      <c r="J163" s="23">
        <v>45174.0</v>
      </c>
      <c r="K163" s="20" t="s">
        <v>2801</v>
      </c>
      <c r="L163" s="20" t="s">
        <v>2802</v>
      </c>
      <c r="M163" s="38" t="s">
        <v>2803</v>
      </c>
      <c r="N163" s="34" t="s">
        <v>2804</v>
      </c>
      <c r="O163" s="39" t="s">
        <v>2805</v>
      </c>
      <c r="P163" s="20" t="s">
        <v>140</v>
      </c>
      <c r="Q163" s="20" t="s">
        <v>55</v>
      </c>
      <c r="R163" s="20" t="s">
        <v>2806</v>
      </c>
      <c r="S163" s="20" t="s">
        <v>57</v>
      </c>
      <c r="T163" s="20">
        <v>3.101329015E9</v>
      </c>
      <c r="U163" s="49" t="s">
        <v>2807</v>
      </c>
      <c r="V163" s="20" t="s">
        <v>2808</v>
      </c>
      <c r="W163" s="20">
        <v>1.05630208E8</v>
      </c>
      <c r="X163" s="20" t="s">
        <v>62</v>
      </c>
      <c r="Y163" s="20" t="s">
        <v>264</v>
      </c>
      <c r="Z163" s="20" t="s">
        <v>2504</v>
      </c>
      <c r="AA163" s="20" t="s">
        <v>2809</v>
      </c>
      <c r="AB163" s="20"/>
      <c r="AC163" s="20" t="s">
        <v>2601</v>
      </c>
      <c r="AD163" s="20" t="s">
        <v>2661</v>
      </c>
      <c r="AE163" s="20" t="s">
        <v>2810</v>
      </c>
      <c r="AF163" s="39" t="s">
        <v>2811</v>
      </c>
      <c r="AG163" s="20" t="s">
        <v>2812</v>
      </c>
      <c r="AH163" s="20" t="s">
        <v>324</v>
      </c>
      <c r="AI163" s="34" t="s">
        <v>2813</v>
      </c>
      <c r="AJ163" s="20" t="s">
        <v>2814</v>
      </c>
      <c r="AK163" s="20" t="s">
        <v>2799</v>
      </c>
      <c r="AL163" s="20"/>
      <c r="AM163" s="29"/>
      <c r="AN163" s="29"/>
      <c r="AO163" s="29"/>
      <c r="AP163" s="29"/>
      <c r="AQ163" s="29"/>
      <c r="AR163" s="29"/>
      <c r="AS163" s="29"/>
      <c r="AT163" s="29"/>
      <c r="AU163" s="29"/>
      <c r="AV163" s="29"/>
      <c r="AW163" s="29"/>
      <c r="AX163" s="29"/>
      <c r="AY163" s="29"/>
      <c r="AZ163" s="29"/>
      <c r="BA163" s="29"/>
      <c r="BB163" s="29"/>
      <c r="BC163" s="29"/>
      <c r="BD163" s="29"/>
      <c r="BE163" s="29"/>
      <c r="BF163" s="29"/>
    </row>
    <row r="164" ht="60.0" customHeight="1">
      <c r="A164" s="20" t="s">
        <v>2815</v>
      </c>
      <c r="B164" s="20" t="s">
        <v>2815</v>
      </c>
      <c r="C164" s="20" t="s">
        <v>231</v>
      </c>
      <c r="D164" s="21" t="s">
        <v>48</v>
      </c>
      <c r="E164" s="20" t="s">
        <v>49</v>
      </c>
      <c r="F164" s="20" t="s">
        <v>2816</v>
      </c>
      <c r="G164" s="20" t="s">
        <v>2816</v>
      </c>
      <c r="H164" s="23">
        <v>44699.0</v>
      </c>
      <c r="I164" s="23">
        <f>'17025 SAL'!$H164+$AN$1</f>
        <v>46159</v>
      </c>
      <c r="J164" s="23">
        <v>44886.0</v>
      </c>
      <c r="K164" s="20" t="s">
        <v>2817</v>
      </c>
      <c r="L164" s="20" t="s">
        <v>2818</v>
      </c>
      <c r="M164" s="24" t="s">
        <v>2819</v>
      </c>
      <c r="N164" s="24" t="s">
        <v>2820</v>
      </c>
      <c r="O164" s="39" t="s">
        <v>2821</v>
      </c>
      <c r="P164" s="20" t="s">
        <v>140</v>
      </c>
      <c r="Q164" s="20" t="s">
        <v>55</v>
      </c>
      <c r="R164" s="20" t="s">
        <v>2822</v>
      </c>
      <c r="S164" s="20" t="s">
        <v>104</v>
      </c>
      <c r="T164" s="20" t="s">
        <v>2823</v>
      </c>
      <c r="U164" s="49" t="s">
        <v>2824</v>
      </c>
      <c r="V164" s="20" t="s">
        <v>2825</v>
      </c>
      <c r="W164" s="20" t="s">
        <v>2826</v>
      </c>
      <c r="X164" s="20" t="s">
        <v>529</v>
      </c>
      <c r="Y164" s="20" t="s">
        <v>264</v>
      </c>
      <c r="Z164" s="20" t="s">
        <v>793</v>
      </c>
      <c r="AA164" s="20" t="s">
        <v>2827</v>
      </c>
      <c r="AB164" s="20"/>
      <c r="AC164" s="20" t="s">
        <v>2828</v>
      </c>
      <c r="AD164" s="20" t="s">
        <v>2829</v>
      </c>
      <c r="AE164" s="20" t="s">
        <v>2830</v>
      </c>
      <c r="AF164" s="39" t="s">
        <v>2831</v>
      </c>
      <c r="AG164" s="20" t="s">
        <v>2832</v>
      </c>
      <c r="AH164" s="20" t="s">
        <v>324</v>
      </c>
      <c r="AI164" s="34" t="s">
        <v>2833</v>
      </c>
      <c r="AJ164" s="20" t="s">
        <v>2834</v>
      </c>
      <c r="AK164" s="20" t="s">
        <v>2835</v>
      </c>
      <c r="AL164" s="20"/>
      <c r="AM164" s="29"/>
      <c r="AN164" s="29"/>
      <c r="AO164" s="29"/>
      <c r="AP164" s="29"/>
      <c r="AQ164" s="29"/>
      <c r="AR164" s="29"/>
      <c r="AS164" s="29"/>
      <c r="AT164" s="29"/>
      <c r="AU164" s="29"/>
      <c r="AV164" s="29"/>
      <c r="AW164" s="29"/>
      <c r="AX164" s="29"/>
      <c r="AY164" s="29"/>
      <c r="AZ164" s="29"/>
      <c r="BA164" s="29"/>
      <c r="BB164" s="29"/>
      <c r="BC164" s="29"/>
      <c r="BD164" s="29"/>
      <c r="BE164" s="29"/>
      <c r="BF164" s="29"/>
    </row>
    <row r="165" ht="60.0" customHeight="1">
      <c r="A165" s="20" t="s">
        <v>2836</v>
      </c>
      <c r="B165" s="20" t="s">
        <v>2837</v>
      </c>
      <c r="C165" s="20" t="s">
        <v>231</v>
      </c>
      <c r="D165" s="21" t="s">
        <v>48</v>
      </c>
      <c r="E165" s="20" t="s">
        <v>2734</v>
      </c>
      <c r="F165" s="20" t="s">
        <v>2838</v>
      </c>
      <c r="G165" s="20" t="s">
        <v>2838</v>
      </c>
      <c r="H165" s="23">
        <v>44739.0</v>
      </c>
      <c r="I165" s="23">
        <f>'17025 SAL'!$H165+$AN$1</f>
        <v>46199</v>
      </c>
      <c r="J165" s="23">
        <v>45103.0</v>
      </c>
      <c r="K165" s="20"/>
      <c r="L165" s="20" t="s">
        <v>2839</v>
      </c>
      <c r="M165" s="24" t="s">
        <v>2840</v>
      </c>
      <c r="N165" s="24" t="s">
        <v>2317</v>
      </c>
      <c r="O165" s="39" t="s">
        <v>2841</v>
      </c>
      <c r="P165" s="20" t="s">
        <v>2842</v>
      </c>
      <c r="Q165" s="20" t="s">
        <v>55</v>
      </c>
      <c r="R165" s="20" t="s">
        <v>2843</v>
      </c>
      <c r="S165" s="20" t="s">
        <v>121</v>
      </c>
      <c r="T165" s="20" t="s">
        <v>2321</v>
      </c>
      <c r="U165" s="31" t="s">
        <v>2322</v>
      </c>
      <c r="V165" s="20" t="s">
        <v>2844</v>
      </c>
      <c r="W165" s="20" t="s">
        <v>2845</v>
      </c>
      <c r="X165" s="20" t="s">
        <v>1899</v>
      </c>
      <c r="Y165" s="20" t="s">
        <v>63</v>
      </c>
      <c r="Z165" s="20" t="s">
        <v>2846</v>
      </c>
      <c r="AA165" s="20" t="s">
        <v>2320</v>
      </c>
      <c r="AB165" s="20"/>
      <c r="AC165" s="20" t="s">
        <v>67</v>
      </c>
      <c r="AD165" s="20"/>
      <c r="AE165" s="20" t="s">
        <v>2839</v>
      </c>
      <c r="AF165" s="39" t="s">
        <v>2325</v>
      </c>
      <c r="AG165" s="20" t="s">
        <v>2847</v>
      </c>
      <c r="AH165" s="20">
        <v>2.2376566E7</v>
      </c>
      <c r="AI165" s="34" t="s">
        <v>2840</v>
      </c>
      <c r="AJ165" s="20" t="s">
        <v>2848</v>
      </c>
      <c r="AK165" s="20" t="s">
        <v>2324</v>
      </c>
      <c r="AL165" s="20" t="s">
        <v>2849</v>
      </c>
      <c r="AM165" s="29"/>
      <c r="AN165" s="29"/>
      <c r="AO165" s="29"/>
      <c r="AP165" s="29"/>
      <c r="AQ165" s="29"/>
      <c r="AR165" s="29"/>
      <c r="AS165" s="29"/>
      <c r="AT165" s="29"/>
      <c r="AU165" s="29"/>
      <c r="AV165" s="29"/>
      <c r="AW165" s="29"/>
      <c r="AX165" s="29"/>
      <c r="AY165" s="29"/>
      <c r="AZ165" s="29"/>
      <c r="BA165" s="29"/>
      <c r="BB165" s="29"/>
      <c r="BC165" s="29"/>
      <c r="BD165" s="29"/>
      <c r="BE165" s="29"/>
      <c r="BF165" s="29"/>
    </row>
    <row r="166" ht="60.0" customHeight="1">
      <c r="A166" s="20" t="s">
        <v>2850</v>
      </c>
      <c r="B166" s="20" t="s">
        <v>2850</v>
      </c>
      <c r="C166" s="20" t="s">
        <v>47</v>
      </c>
      <c r="D166" s="21" t="s">
        <v>48</v>
      </c>
      <c r="E166" s="20" t="s">
        <v>49</v>
      </c>
      <c r="F166" s="20" t="s">
        <v>2851</v>
      </c>
      <c r="G166" s="20" t="s">
        <v>2851</v>
      </c>
      <c r="H166" s="23">
        <v>44740.0</v>
      </c>
      <c r="I166" s="23">
        <f>'17025 SAL'!$H166+$AN$1</f>
        <v>46200</v>
      </c>
      <c r="J166" s="23">
        <v>44992.0</v>
      </c>
      <c r="K166" s="20"/>
      <c r="L166" s="20" t="s">
        <v>2852</v>
      </c>
      <c r="M166" s="24" t="s">
        <v>2853</v>
      </c>
      <c r="N166" s="24" t="s">
        <v>2854</v>
      </c>
      <c r="O166" s="39" t="s">
        <v>2855</v>
      </c>
      <c r="P166" s="20" t="s">
        <v>140</v>
      </c>
      <c r="Q166" s="20" t="s">
        <v>55</v>
      </c>
      <c r="R166" s="20" t="s">
        <v>2856</v>
      </c>
      <c r="S166" s="20" t="s">
        <v>121</v>
      </c>
      <c r="T166" s="20" t="s">
        <v>2857</v>
      </c>
      <c r="U166" s="49" t="s">
        <v>2858</v>
      </c>
      <c r="V166" s="20" t="s">
        <v>2859</v>
      </c>
      <c r="W166" s="39" t="s">
        <v>2860</v>
      </c>
      <c r="X166" s="20" t="s">
        <v>62</v>
      </c>
      <c r="Y166" s="20" t="s">
        <v>63</v>
      </c>
      <c r="Z166" s="20" t="s">
        <v>411</v>
      </c>
      <c r="AA166" s="20" t="s">
        <v>2861</v>
      </c>
      <c r="AB166" s="20"/>
      <c r="AC166" s="20" t="s">
        <v>285</v>
      </c>
      <c r="AD166" s="20" t="s">
        <v>2862</v>
      </c>
      <c r="AE166" s="20" t="s">
        <v>2852</v>
      </c>
      <c r="AF166" s="39" t="s">
        <v>2855</v>
      </c>
      <c r="AG166" s="20" t="s">
        <v>2863</v>
      </c>
      <c r="AH166" s="20" t="s">
        <v>140</v>
      </c>
      <c r="AI166" s="34" t="s">
        <v>2864</v>
      </c>
      <c r="AJ166" s="20" t="s">
        <v>2865</v>
      </c>
      <c r="AK166" s="20" t="s">
        <v>2866</v>
      </c>
      <c r="AL166" s="20"/>
      <c r="AM166" s="29"/>
      <c r="AN166" s="29"/>
      <c r="AO166" s="29"/>
      <c r="AP166" s="29"/>
      <c r="AQ166" s="29"/>
      <c r="AR166" s="29"/>
      <c r="AS166" s="29"/>
      <c r="AT166" s="29"/>
      <c r="AU166" s="29"/>
      <c r="AV166" s="29"/>
      <c r="AW166" s="29"/>
      <c r="AX166" s="29"/>
      <c r="AY166" s="29"/>
      <c r="AZ166" s="29"/>
      <c r="BA166" s="29"/>
      <c r="BB166" s="29"/>
      <c r="BC166" s="29"/>
      <c r="BD166" s="29"/>
      <c r="BE166" s="29"/>
      <c r="BF166" s="29"/>
    </row>
    <row r="167" ht="60.0" customHeight="1">
      <c r="A167" s="20" t="s">
        <v>2867</v>
      </c>
      <c r="B167" s="20" t="s">
        <v>2868</v>
      </c>
      <c r="C167" s="20" t="s">
        <v>47</v>
      </c>
      <c r="D167" s="21" t="s">
        <v>48</v>
      </c>
      <c r="E167" s="20" t="s">
        <v>49</v>
      </c>
      <c r="F167" s="20" t="s">
        <v>2869</v>
      </c>
      <c r="G167" s="20" t="s">
        <v>2869</v>
      </c>
      <c r="H167" s="23">
        <v>44832.0</v>
      </c>
      <c r="I167" s="23">
        <f>'17025 SAL'!$H167+$AN$1</f>
        <v>46292</v>
      </c>
      <c r="J167" s="23">
        <v>45082.0</v>
      </c>
      <c r="K167" s="20"/>
      <c r="L167" s="20" t="s">
        <v>2870</v>
      </c>
      <c r="M167" s="31" t="s">
        <v>2871</v>
      </c>
      <c r="N167" s="31" t="s">
        <v>2872</v>
      </c>
      <c r="O167" s="39" t="s">
        <v>2873</v>
      </c>
      <c r="P167" s="20" t="s">
        <v>140</v>
      </c>
      <c r="Q167" s="20" t="s">
        <v>55</v>
      </c>
      <c r="R167" s="20" t="s">
        <v>2874</v>
      </c>
      <c r="S167" s="20" t="s">
        <v>2530</v>
      </c>
      <c r="T167" s="20" t="s">
        <v>2875</v>
      </c>
      <c r="U167" s="31" t="s">
        <v>2876</v>
      </c>
      <c r="V167" s="20" t="s">
        <v>2877</v>
      </c>
      <c r="W167" s="39" t="s">
        <v>2878</v>
      </c>
      <c r="X167" s="20" t="s">
        <v>62</v>
      </c>
      <c r="Y167" s="20" t="s">
        <v>1863</v>
      </c>
      <c r="Z167" s="20" t="s">
        <v>2879</v>
      </c>
      <c r="AA167" s="20" t="s">
        <v>2880</v>
      </c>
      <c r="AB167" s="20"/>
      <c r="AC167" s="20" t="s">
        <v>1055</v>
      </c>
      <c r="AD167" s="20" t="s">
        <v>2759</v>
      </c>
      <c r="AE167" s="20" t="s">
        <v>2881</v>
      </c>
      <c r="AF167" s="39" t="s">
        <v>2882</v>
      </c>
      <c r="AG167" s="20" t="s">
        <v>2883</v>
      </c>
      <c r="AH167" s="20" t="s">
        <v>140</v>
      </c>
      <c r="AI167" s="34" t="s">
        <v>2884</v>
      </c>
      <c r="AJ167" s="20" t="s">
        <v>2885</v>
      </c>
      <c r="AK167" s="20" t="s">
        <v>2886</v>
      </c>
      <c r="AL167" s="20"/>
      <c r="AM167" s="29"/>
      <c r="AN167" s="29"/>
      <c r="AO167" s="29"/>
      <c r="AP167" s="29"/>
      <c r="AQ167" s="29"/>
      <c r="AR167" s="29"/>
      <c r="AS167" s="29"/>
      <c r="AT167" s="29"/>
      <c r="AU167" s="29"/>
      <c r="AV167" s="29"/>
      <c r="AW167" s="29"/>
      <c r="AX167" s="29"/>
      <c r="AY167" s="29"/>
      <c r="AZ167" s="29"/>
      <c r="BA167" s="29"/>
      <c r="BB167" s="29"/>
      <c r="BC167" s="29"/>
      <c r="BD167" s="29"/>
      <c r="BE167" s="29"/>
      <c r="BF167" s="29"/>
    </row>
    <row r="168" ht="60.0" customHeight="1">
      <c r="A168" s="20" t="s">
        <v>2887</v>
      </c>
      <c r="B168" s="20" t="s">
        <v>2888</v>
      </c>
      <c r="C168" s="20" t="s">
        <v>47</v>
      </c>
      <c r="D168" s="21" t="s">
        <v>2027</v>
      </c>
      <c r="E168" s="20" t="s">
        <v>49</v>
      </c>
      <c r="F168" s="20" t="s">
        <v>2889</v>
      </c>
      <c r="G168" s="20"/>
      <c r="H168" s="23">
        <v>44914.0</v>
      </c>
      <c r="I168" s="23">
        <f>'17025 SAL'!$H168+$AN$1</f>
        <v>46374</v>
      </c>
      <c r="J168" s="20"/>
      <c r="K168" s="20"/>
      <c r="L168" s="20" t="s">
        <v>2890</v>
      </c>
      <c r="M168" s="26" t="s">
        <v>2891</v>
      </c>
      <c r="N168" s="68" t="s">
        <v>2892</v>
      </c>
      <c r="O168" s="39" t="s">
        <v>2893</v>
      </c>
      <c r="P168" s="20" t="s">
        <v>140</v>
      </c>
      <c r="Q168" s="20" t="s">
        <v>55</v>
      </c>
      <c r="R168" s="20" t="s">
        <v>2894</v>
      </c>
      <c r="S168" s="20" t="s">
        <v>57</v>
      </c>
      <c r="T168" s="20" t="s">
        <v>2895</v>
      </c>
      <c r="U168" s="49" t="s">
        <v>2896</v>
      </c>
      <c r="V168" s="20" t="s">
        <v>2897</v>
      </c>
      <c r="W168" s="39" t="s">
        <v>2898</v>
      </c>
      <c r="X168" s="20" t="s">
        <v>734</v>
      </c>
      <c r="Y168" s="20" t="s">
        <v>2899</v>
      </c>
      <c r="Z168" s="20" t="s">
        <v>2900</v>
      </c>
      <c r="AA168" s="20" t="s">
        <v>2901</v>
      </c>
      <c r="AB168" s="20"/>
      <c r="AC168" s="20" t="s">
        <v>29</v>
      </c>
      <c r="AD168" s="20" t="s">
        <v>2902</v>
      </c>
      <c r="AE168" s="20" t="s">
        <v>2903</v>
      </c>
      <c r="AF168" s="39" t="s">
        <v>2904</v>
      </c>
      <c r="AG168" s="20" t="s">
        <v>2901</v>
      </c>
      <c r="AH168" s="20" t="s">
        <v>140</v>
      </c>
      <c r="AI168" s="34" t="s">
        <v>2905</v>
      </c>
      <c r="AJ168" s="20" t="s">
        <v>2906</v>
      </c>
      <c r="AK168" s="20" t="s">
        <v>2907</v>
      </c>
      <c r="AL168" s="20" t="s">
        <v>2908</v>
      </c>
      <c r="AM168" s="29"/>
      <c r="AN168" s="29"/>
      <c r="AO168" s="29"/>
      <c r="AP168" s="29"/>
      <c r="AQ168" s="29"/>
      <c r="AR168" s="29"/>
      <c r="AS168" s="29"/>
      <c r="AT168" s="29"/>
      <c r="AU168" s="29"/>
      <c r="AV168" s="29"/>
      <c r="AW168" s="29"/>
      <c r="AX168" s="29"/>
      <c r="AY168" s="29"/>
      <c r="AZ168" s="29"/>
      <c r="BA168" s="29"/>
      <c r="BB168" s="29"/>
      <c r="BC168" s="29"/>
      <c r="BD168" s="29"/>
      <c r="BE168" s="29"/>
      <c r="BF168" s="29"/>
    </row>
    <row r="169" ht="60.0" customHeight="1">
      <c r="A169" s="20" t="s">
        <v>2909</v>
      </c>
      <c r="B169" s="20" t="s">
        <v>2910</v>
      </c>
      <c r="C169" s="20" t="s">
        <v>47</v>
      </c>
      <c r="D169" s="21" t="s">
        <v>2911</v>
      </c>
      <c r="E169" s="20" t="s">
        <v>49</v>
      </c>
      <c r="F169" s="20" t="s">
        <v>2912</v>
      </c>
      <c r="G169" s="20"/>
      <c r="H169" s="23">
        <v>45211.0</v>
      </c>
      <c r="I169" s="23">
        <f>'17025 SAL'!$H169+$AN$1</f>
        <v>46671</v>
      </c>
      <c r="J169" s="20"/>
      <c r="K169" s="20"/>
      <c r="L169" s="20" t="s">
        <v>2913</v>
      </c>
      <c r="M169" s="24" t="s">
        <v>2914</v>
      </c>
      <c r="N169" s="24" t="s">
        <v>2915</v>
      </c>
      <c r="O169" s="39">
        <v>2.5195835E7</v>
      </c>
      <c r="P169" s="20" t="s">
        <v>140</v>
      </c>
      <c r="Q169" s="20" t="s">
        <v>55</v>
      </c>
      <c r="R169" s="20" t="s">
        <v>2916</v>
      </c>
      <c r="S169" s="20" t="s">
        <v>57</v>
      </c>
      <c r="T169" s="20" t="s">
        <v>2917</v>
      </c>
      <c r="U169" s="92" t="s">
        <v>2918</v>
      </c>
      <c r="V169" s="20" t="s">
        <v>2919</v>
      </c>
      <c r="W169" s="39" t="s">
        <v>2920</v>
      </c>
      <c r="X169" s="20" t="s">
        <v>304</v>
      </c>
      <c r="Y169" s="20" t="s">
        <v>63</v>
      </c>
      <c r="Z169" s="20" t="s">
        <v>2921</v>
      </c>
      <c r="AA169" s="20" t="s">
        <v>2916</v>
      </c>
      <c r="AB169" s="20"/>
      <c r="AC169" s="20" t="s">
        <v>2601</v>
      </c>
      <c r="AD169" s="20" t="s">
        <v>2909</v>
      </c>
      <c r="AE169" s="20" t="s">
        <v>2922</v>
      </c>
      <c r="AF169" s="39">
        <v>2.5195838E7</v>
      </c>
      <c r="AG169" s="20" t="s">
        <v>2916</v>
      </c>
      <c r="AH169" s="20" t="s">
        <v>140</v>
      </c>
      <c r="AI169" s="34" t="s">
        <v>2923</v>
      </c>
      <c r="AJ169" s="20" t="s">
        <v>2924</v>
      </c>
      <c r="AK169" s="20" t="s">
        <v>2910</v>
      </c>
      <c r="AL169" s="20"/>
      <c r="AM169" s="29"/>
      <c r="AN169" s="29"/>
      <c r="AO169" s="29"/>
      <c r="AP169" s="29"/>
      <c r="AQ169" s="29"/>
      <c r="AR169" s="29"/>
      <c r="AS169" s="29"/>
      <c r="AT169" s="29"/>
      <c r="AU169" s="29"/>
      <c r="AV169" s="29"/>
      <c r="AW169" s="29"/>
      <c r="AX169" s="29"/>
      <c r="AY169" s="29"/>
      <c r="AZ169" s="29"/>
      <c r="BA169" s="29"/>
      <c r="BB169" s="29"/>
      <c r="BC169" s="29"/>
      <c r="BD169" s="29"/>
      <c r="BE169" s="29"/>
      <c r="BF169" s="29"/>
    </row>
    <row r="170" ht="60.0" customHeight="1">
      <c r="A170" s="20" t="s">
        <v>2925</v>
      </c>
      <c r="B170" s="20" t="s">
        <v>2926</v>
      </c>
      <c r="C170" s="20" t="s">
        <v>47</v>
      </c>
      <c r="D170" s="21" t="s">
        <v>48</v>
      </c>
      <c r="E170" s="20" t="s">
        <v>49</v>
      </c>
      <c r="F170" s="20" t="s">
        <v>2927</v>
      </c>
      <c r="G170" s="20" t="s">
        <v>2927</v>
      </c>
      <c r="H170" s="23">
        <v>45061.0</v>
      </c>
      <c r="I170" s="23">
        <f>'17025 SAL'!$H170+$AN$1</f>
        <v>46521</v>
      </c>
      <c r="J170" s="23">
        <v>45485.0</v>
      </c>
      <c r="K170" s="20"/>
      <c r="L170" s="20" t="s">
        <v>2928</v>
      </c>
      <c r="M170" s="24" t="s">
        <v>2929</v>
      </c>
      <c r="N170" s="34"/>
      <c r="O170" s="39" t="s">
        <v>2930</v>
      </c>
      <c r="P170" s="20" t="s">
        <v>140</v>
      </c>
      <c r="Q170" s="20" t="s">
        <v>55</v>
      </c>
      <c r="R170" s="20" t="s">
        <v>2931</v>
      </c>
      <c r="S170" s="20" t="s">
        <v>979</v>
      </c>
      <c r="T170" s="20" t="s">
        <v>2932</v>
      </c>
      <c r="U170" s="92" t="s">
        <v>2933</v>
      </c>
      <c r="V170" s="20" t="s">
        <v>2934</v>
      </c>
      <c r="W170" s="39" t="s">
        <v>2935</v>
      </c>
      <c r="X170" s="20" t="s">
        <v>62</v>
      </c>
      <c r="Y170" s="20" t="s">
        <v>63</v>
      </c>
      <c r="Z170" s="20" t="s">
        <v>2057</v>
      </c>
      <c r="AA170" s="20" t="s">
        <v>2936</v>
      </c>
      <c r="AB170" s="20"/>
      <c r="AC170" s="20" t="s">
        <v>67</v>
      </c>
      <c r="AD170" s="20" t="s">
        <v>2862</v>
      </c>
      <c r="AE170" s="20" t="s">
        <v>2934</v>
      </c>
      <c r="AF170" s="39" t="s">
        <v>2930</v>
      </c>
      <c r="AG170" s="20" t="s">
        <v>2936</v>
      </c>
      <c r="AH170" s="20" t="s">
        <v>140</v>
      </c>
      <c r="AI170" s="34" t="s">
        <v>2937</v>
      </c>
      <c r="AJ170" s="20" t="s">
        <v>2938</v>
      </c>
      <c r="AK170" s="20" t="s">
        <v>2926</v>
      </c>
      <c r="AL170" s="20"/>
      <c r="AM170" s="16"/>
      <c r="AN170" s="16"/>
      <c r="AO170" s="16"/>
      <c r="AP170" s="16"/>
      <c r="AQ170" s="16"/>
      <c r="AR170" s="16"/>
      <c r="AS170" s="16"/>
      <c r="AT170" s="16"/>
      <c r="AU170" s="16"/>
      <c r="AV170" s="16"/>
      <c r="AW170" s="16"/>
      <c r="AX170" s="16"/>
      <c r="AY170" s="16"/>
      <c r="AZ170" s="16"/>
      <c r="BA170" s="16"/>
      <c r="BB170" s="16"/>
      <c r="BC170" s="16"/>
      <c r="BD170" s="16"/>
      <c r="BE170" s="16"/>
      <c r="BF170" s="16"/>
    </row>
    <row r="171" ht="60.0" customHeight="1">
      <c r="A171" s="20" t="s">
        <v>2939</v>
      </c>
      <c r="B171" s="20" t="s">
        <v>2940</v>
      </c>
      <c r="C171" s="20" t="s">
        <v>47</v>
      </c>
      <c r="D171" s="21" t="s">
        <v>822</v>
      </c>
      <c r="E171" s="20" t="s">
        <v>49</v>
      </c>
      <c r="F171" s="20" t="s">
        <v>2941</v>
      </c>
      <c r="G171" s="20" t="s">
        <v>2941</v>
      </c>
      <c r="H171" s="23">
        <v>45098.0</v>
      </c>
      <c r="I171" s="23">
        <f>'17025 SAL'!$H171+$AN$1</f>
        <v>46558</v>
      </c>
      <c r="J171" s="23">
        <v>45516.0</v>
      </c>
      <c r="K171" s="20"/>
      <c r="L171" s="20" t="s">
        <v>2942</v>
      </c>
      <c r="M171" s="24" t="s">
        <v>2943</v>
      </c>
      <c r="N171" s="31" t="s">
        <v>2944</v>
      </c>
      <c r="O171" s="39" t="s">
        <v>2945</v>
      </c>
      <c r="P171" s="20" t="s">
        <v>2945</v>
      </c>
      <c r="Q171" s="20" t="s">
        <v>55</v>
      </c>
      <c r="R171" s="20" t="s">
        <v>2946</v>
      </c>
      <c r="S171" s="20" t="s">
        <v>121</v>
      </c>
      <c r="T171" s="20" t="s">
        <v>2947</v>
      </c>
      <c r="U171" s="92" t="s">
        <v>324</v>
      </c>
      <c r="V171" s="20" t="s">
        <v>2948</v>
      </c>
      <c r="W171" s="39" t="s">
        <v>2949</v>
      </c>
      <c r="X171" s="20" t="s">
        <v>62</v>
      </c>
      <c r="Y171" s="20" t="s">
        <v>63</v>
      </c>
      <c r="Z171" s="20" t="s">
        <v>2950</v>
      </c>
      <c r="AA171" s="20" t="s">
        <v>2951</v>
      </c>
      <c r="AB171" s="20"/>
      <c r="AC171" s="20" t="s">
        <v>2952</v>
      </c>
      <c r="AD171" s="20" t="s">
        <v>2953</v>
      </c>
      <c r="AE171" s="20" t="s">
        <v>2954</v>
      </c>
      <c r="AF171" s="39" t="s">
        <v>2955</v>
      </c>
      <c r="AG171" s="20" t="s">
        <v>2946</v>
      </c>
      <c r="AH171" s="20">
        <v>2.2873E7</v>
      </c>
      <c r="AI171" s="34" t="s">
        <v>2956</v>
      </c>
      <c r="AJ171" s="20" t="s">
        <v>2957</v>
      </c>
      <c r="AK171" s="20" t="s">
        <v>2940</v>
      </c>
      <c r="AL171" s="20" t="s">
        <v>2958</v>
      </c>
      <c r="AM171" s="29"/>
      <c r="AN171" s="29"/>
      <c r="AO171" s="29"/>
      <c r="AP171" s="29"/>
      <c r="AQ171" s="29"/>
      <c r="AR171" s="29"/>
      <c r="AS171" s="29"/>
      <c r="AT171" s="29"/>
      <c r="AU171" s="29"/>
      <c r="AV171" s="29"/>
      <c r="AW171" s="29"/>
      <c r="AX171" s="29"/>
      <c r="AY171" s="29"/>
      <c r="AZ171" s="29"/>
      <c r="BA171" s="29"/>
      <c r="BB171" s="29"/>
      <c r="BC171" s="29"/>
      <c r="BD171" s="29"/>
      <c r="BE171" s="29"/>
      <c r="BF171" s="29"/>
    </row>
    <row r="172" ht="60.0" customHeight="1">
      <c r="A172" s="20" t="s">
        <v>2959</v>
      </c>
      <c r="B172" s="20" t="s">
        <v>2960</v>
      </c>
      <c r="C172" s="20" t="s">
        <v>47</v>
      </c>
      <c r="D172" s="21" t="s">
        <v>48</v>
      </c>
      <c r="E172" s="20" t="s">
        <v>49</v>
      </c>
      <c r="F172" s="20" t="s">
        <v>2961</v>
      </c>
      <c r="G172" s="20" t="s">
        <v>2961</v>
      </c>
      <c r="H172" s="23">
        <v>45071.0</v>
      </c>
      <c r="I172" s="23">
        <f>'17025 SAL'!$H172+$AN$1</f>
        <v>46531</v>
      </c>
      <c r="J172" s="23">
        <v>45516.0</v>
      </c>
      <c r="K172" s="20"/>
      <c r="L172" s="20" t="s">
        <v>2962</v>
      </c>
      <c r="M172" s="34" t="s">
        <v>2963</v>
      </c>
      <c r="N172" s="38" t="s">
        <v>2964</v>
      </c>
      <c r="O172" s="39" t="s">
        <v>2965</v>
      </c>
      <c r="P172" s="20" t="s">
        <v>2966</v>
      </c>
      <c r="Q172" s="20" t="s">
        <v>55</v>
      </c>
      <c r="R172" s="20" t="s">
        <v>2967</v>
      </c>
      <c r="S172" s="20" t="s">
        <v>104</v>
      </c>
      <c r="T172" s="20" t="s">
        <v>2968</v>
      </c>
      <c r="U172" s="92" t="s">
        <v>2969</v>
      </c>
      <c r="V172" s="20" t="s">
        <v>2970</v>
      </c>
      <c r="W172" s="39">
        <v>1.12780408E8</v>
      </c>
      <c r="X172" s="20" t="s">
        <v>62</v>
      </c>
      <c r="Y172" s="20" t="s">
        <v>63</v>
      </c>
      <c r="Z172" s="20" t="s">
        <v>411</v>
      </c>
      <c r="AA172" s="20" t="s">
        <v>2971</v>
      </c>
      <c r="AB172" s="20"/>
      <c r="AC172" s="20" t="s">
        <v>2972</v>
      </c>
      <c r="AD172" s="20"/>
      <c r="AE172" s="20" t="s">
        <v>2973</v>
      </c>
      <c r="AF172" s="39" t="s">
        <v>2974</v>
      </c>
      <c r="AG172" s="20" t="s">
        <v>2975</v>
      </c>
      <c r="AH172" s="20"/>
      <c r="AI172" s="34" t="s">
        <v>2976</v>
      </c>
      <c r="AJ172" s="20" t="s">
        <v>2977</v>
      </c>
      <c r="AK172" s="20"/>
      <c r="AL172" s="20"/>
      <c r="AM172" s="16"/>
      <c r="AN172" s="16"/>
      <c r="AO172" s="16"/>
      <c r="AP172" s="16"/>
      <c r="AQ172" s="16"/>
      <c r="AR172" s="16"/>
      <c r="AS172" s="16"/>
      <c r="AT172" s="16"/>
      <c r="AU172" s="16"/>
      <c r="AV172" s="16"/>
      <c r="AW172" s="16"/>
      <c r="AX172" s="16"/>
      <c r="AY172" s="16"/>
      <c r="AZ172" s="16"/>
      <c r="BA172" s="16"/>
      <c r="BB172" s="16"/>
      <c r="BC172" s="16"/>
      <c r="BD172" s="16"/>
      <c r="BE172" s="16"/>
      <c r="BF172" s="16"/>
    </row>
    <row r="173" ht="60.0" customHeight="1">
      <c r="A173" s="20" t="s">
        <v>2978</v>
      </c>
      <c r="B173" s="20" t="s">
        <v>2979</v>
      </c>
      <c r="C173" s="20" t="s">
        <v>231</v>
      </c>
      <c r="D173" s="21" t="s">
        <v>48</v>
      </c>
      <c r="E173" s="20" t="s">
        <v>49</v>
      </c>
      <c r="F173" s="20" t="s">
        <v>2980</v>
      </c>
      <c r="G173" s="20" t="s">
        <v>2980</v>
      </c>
      <c r="H173" s="23">
        <v>45069.0</v>
      </c>
      <c r="I173" s="23">
        <f>'17025 SAL'!$H173+$AN$1</f>
        <v>46529</v>
      </c>
      <c r="J173" s="23">
        <v>45387.0</v>
      </c>
      <c r="K173" s="20"/>
      <c r="L173" s="20" t="s">
        <v>2981</v>
      </c>
      <c r="M173" s="24" t="s">
        <v>2982</v>
      </c>
      <c r="N173" s="24" t="s">
        <v>2983</v>
      </c>
      <c r="O173" s="39" t="s">
        <v>2984</v>
      </c>
      <c r="P173" s="39" t="s">
        <v>734</v>
      </c>
      <c r="Q173" s="20" t="s">
        <v>55</v>
      </c>
      <c r="R173" s="20" t="s">
        <v>2985</v>
      </c>
      <c r="S173" s="20" t="s">
        <v>57</v>
      </c>
      <c r="T173" s="20" t="s">
        <v>2986</v>
      </c>
      <c r="U173" s="49" t="s">
        <v>734</v>
      </c>
      <c r="V173" s="20" t="s">
        <v>2987</v>
      </c>
      <c r="W173" s="39" t="s">
        <v>2988</v>
      </c>
      <c r="X173" s="20" t="s">
        <v>62</v>
      </c>
      <c r="Y173" s="20" t="s">
        <v>1677</v>
      </c>
      <c r="Z173" s="20" t="s">
        <v>2989</v>
      </c>
      <c r="AA173" s="20" t="s">
        <v>2985</v>
      </c>
      <c r="AB173" s="34" t="s">
        <v>2983</v>
      </c>
      <c r="AC173" s="20" t="s">
        <v>1055</v>
      </c>
      <c r="AD173" s="20" t="s">
        <v>1143</v>
      </c>
      <c r="AE173" s="20" t="s">
        <v>2990</v>
      </c>
      <c r="AF173" s="39" t="s">
        <v>734</v>
      </c>
      <c r="AG173" s="20" t="s">
        <v>2985</v>
      </c>
      <c r="AH173" s="20" t="s">
        <v>734</v>
      </c>
      <c r="AI173" s="34" t="s">
        <v>2991</v>
      </c>
      <c r="AJ173" s="20" t="s">
        <v>2992</v>
      </c>
      <c r="AK173" s="20" t="s">
        <v>2993</v>
      </c>
      <c r="AL173" s="20"/>
      <c r="AM173" s="29"/>
      <c r="AN173" s="29"/>
      <c r="AO173" s="29"/>
      <c r="AP173" s="29"/>
      <c r="AQ173" s="29"/>
      <c r="AR173" s="29"/>
      <c r="AS173" s="29"/>
      <c r="AT173" s="29"/>
      <c r="AU173" s="29"/>
      <c r="AV173" s="29"/>
      <c r="AW173" s="29"/>
      <c r="AX173" s="29"/>
      <c r="AY173" s="29"/>
      <c r="AZ173" s="29"/>
      <c r="BA173" s="29"/>
      <c r="BB173" s="29"/>
      <c r="BC173" s="29"/>
      <c r="BD173" s="29"/>
      <c r="BE173" s="29"/>
      <c r="BF173" s="29"/>
    </row>
    <row r="174" ht="60.0" customHeight="1">
      <c r="A174" s="20" t="s">
        <v>2994</v>
      </c>
      <c r="B174" s="20" t="s">
        <v>2995</v>
      </c>
      <c r="C174" s="20" t="s">
        <v>47</v>
      </c>
      <c r="D174" s="21" t="s">
        <v>48</v>
      </c>
      <c r="E174" s="20" t="s">
        <v>49</v>
      </c>
      <c r="F174" s="20" t="s">
        <v>2996</v>
      </c>
      <c r="G174" s="20" t="s">
        <v>2996</v>
      </c>
      <c r="H174" s="23">
        <v>45114.0</v>
      </c>
      <c r="I174" s="23">
        <f>'17025 SAL'!$H174+$AN$1</f>
        <v>46574</v>
      </c>
      <c r="J174" s="23">
        <v>45418.0</v>
      </c>
      <c r="K174" s="20" t="s">
        <v>2997</v>
      </c>
      <c r="L174" s="20" t="s">
        <v>2998</v>
      </c>
      <c r="M174" s="24" t="s">
        <v>2999</v>
      </c>
      <c r="N174" s="34"/>
      <c r="O174" s="39" t="s">
        <v>3000</v>
      </c>
      <c r="P174" s="39" t="s">
        <v>140</v>
      </c>
      <c r="Q174" s="20" t="s">
        <v>55</v>
      </c>
      <c r="R174" s="20" t="s">
        <v>3001</v>
      </c>
      <c r="S174" s="20" t="s">
        <v>57</v>
      </c>
      <c r="T174" s="20" t="s">
        <v>3002</v>
      </c>
      <c r="U174" s="49" t="s">
        <v>3003</v>
      </c>
      <c r="V174" s="20" t="s">
        <v>3004</v>
      </c>
      <c r="W174" s="39" t="s">
        <v>3005</v>
      </c>
      <c r="X174" s="20" t="s">
        <v>734</v>
      </c>
      <c r="Y174" s="20" t="s">
        <v>63</v>
      </c>
      <c r="Z174" s="20" t="s">
        <v>125</v>
      </c>
      <c r="AA174" s="20" t="s">
        <v>3001</v>
      </c>
      <c r="AB174" s="34" t="s">
        <v>2999</v>
      </c>
      <c r="AC174" s="20" t="s">
        <v>3006</v>
      </c>
      <c r="AD174" s="20" t="s">
        <v>3007</v>
      </c>
      <c r="AE174" s="20" t="s">
        <v>2998</v>
      </c>
      <c r="AF174" s="39" t="s">
        <v>3008</v>
      </c>
      <c r="AG174" s="20" t="s">
        <v>3001</v>
      </c>
      <c r="AH174" s="20" t="s">
        <v>140</v>
      </c>
      <c r="AI174" s="34" t="s">
        <v>2999</v>
      </c>
      <c r="AJ174" s="20" t="s">
        <v>3009</v>
      </c>
      <c r="AK174" s="20" t="s">
        <v>2995</v>
      </c>
      <c r="AL174" s="20"/>
      <c r="AM174" s="29"/>
      <c r="AN174" s="29"/>
      <c r="AO174" s="29"/>
      <c r="AP174" s="29"/>
      <c r="AQ174" s="29"/>
      <c r="AR174" s="29"/>
      <c r="AS174" s="29"/>
      <c r="AT174" s="29"/>
      <c r="AU174" s="29"/>
      <c r="AV174" s="29"/>
      <c r="AW174" s="29"/>
      <c r="AX174" s="29"/>
      <c r="AY174" s="29"/>
      <c r="AZ174" s="29"/>
      <c r="BA174" s="29"/>
      <c r="BB174" s="29"/>
      <c r="BC174" s="29"/>
      <c r="BD174" s="29"/>
      <c r="BE174" s="29"/>
      <c r="BF174" s="29"/>
    </row>
    <row r="175" ht="60.0" customHeight="1">
      <c r="A175" s="20" t="s">
        <v>3010</v>
      </c>
      <c r="B175" s="20" t="s">
        <v>3011</v>
      </c>
      <c r="C175" s="20" t="s">
        <v>47</v>
      </c>
      <c r="D175" s="21" t="s">
        <v>48</v>
      </c>
      <c r="E175" s="20" t="s">
        <v>49</v>
      </c>
      <c r="F175" s="20" t="s">
        <v>3012</v>
      </c>
      <c r="G175" s="20" t="s">
        <v>3012</v>
      </c>
      <c r="H175" s="23">
        <v>45197.0</v>
      </c>
      <c r="I175" s="23">
        <f>'17025 SAL'!$H175+$AN$1</f>
        <v>46657</v>
      </c>
      <c r="J175" s="23">
        <v>45740.0</v>
      </c>
      <c r="K175" s="20"/>
      <c r="L175" s="20" t="s">
        <v>3013</v>
      </c>
      <c r="M175" s="24" t="s">
        <v>3014</v>
      </c>
      <c r="N175" s="24" t="s">
        <v>3015</v>
      </c>
      <c r="O175" s="39" t="s">
        <v>3016</v>
      </c>
      <c r="P175" s="39" t="s">
        <v>140</v>
      </c>
      <c r="Q175" s="20" t="s">
        <v>2479</v>
      </c>
      <c r="R175" s="20" t="s">
        <v>3017</v>
      </c>
      <c r="S175" s="20" t="s">
        <v>3018</v>
      </c>
      <c r="T175" s="20" t="s">
        <v>3019</v>
      </c>
      <c r="U175" s="49" t="s">
        <v>3020</v>
      </c>
      <c r="V175" s="20" t="s">
        <v>3021</v>
      </c>
      <c r="W175" s="39" t="s">
        <v>3022</v>
      </c>
      <c r="X175" s="20" t="s">
        <v>304</v>
      </c>
      <c r="Y175" s="20" t="s">
        <v>2503</v>
      </c>
      <c r="Z175" s="20" t="s">
        <v>3023</v>
      </c>
      <c r="AA175" s="20" t="s">
        <v>3024</v>
      </c>
      <c r="AB175" s="38" t="s">
        <v>3025</v>
      </c>
      <c r="AC175" s="20" t="s">
        <v>3026</v>
      </c>
      <c r="AD175" s="20" t="s">
        <v>3027</v>
      </c>
      <c r="AE175" s="20" t="s">
        <v>3027</v>
      </c>
      <c r="AF175" s="39" t="s">
        <v>3028</v>
      </c>
      <c r="AG175" s="20" t="s">
        <v>3017</v>
      </c>
      <c r="AH175" s="20" t="s">
        <v>140</v>
      </c>
      <c r="AI175" s="38" t="s">
        <v>3029</v>
      </c>
      <c r="AJ175" s="20" t="s">
        <v>3030</v>
      </c>
      <c r="AK175" s="20" t="s">
        <v>3027</v>
      </c>
      <c r="AL175" s="20"/>
      <c r="AM175" s="29"/>
      <c r="AN175" s="29"/>
      <c r="AO175" s="29"/>
      <c r="AP175" s="29"/>
      <c r="AQ175" s="29"/>
      <c r="AR175" s="29"/>
      <c r="AS175" s="29"/>
      <c r="AT175" s="29"/>
      <c r="AU175" s="29"/>
      <c r="AV175" s="29"/>
      <c r="AW175" s="29"/>
      <c r="AX175" s="29"/>
      <c r="AY175" s="29"/>
      <c r="AZ175" s="29"/>
      <c r="BA175" s="29"/>
      <c r="BB175" s="29"/>
      <c r="BC175" s="29"/>
      <c r="BD175" s="29"/>
      <c r="BE175" s="29"/>
      <c r="BF175" s="29"/>
    </row>
    <row r="176" ht="60.0" customHeight="1">
      <c r="A176" s="20" t="s">
        <v>3031</v>
      </c>
      <c r="B176" s="20" t="s">
        <v>3031</v>
      </c>
      <c r="C176" s="20" t="s">
        <v>47</v>
      </c>
      <c r="D176" s="21" t="s">
        <v>2911</v>
      </c>
      <c r="E176" s="20" t="s">
        <v>49</v>
      </c>
      <c r="F176" s="20" t="s">
        <v>3032</v>
      </c>
      <c r="G176" s="20"/>
      <c r="H176" s="23">
        <v>45204.0</v>
      </c>
      <c r="I176" s="23">
        <f>'17025 SAL'!$H176+$AN$1</f>
        <v>46664</v>
      </c>
      <c r="J176" s="20"/>
      <c r="K176" s="20"/>
      <c r="L176" s="20" t="s">
        <v>3033</v>
      </c>
      <c r="M176" s="24" t="s">
        <v>3034</v>
      </c>
      <c r="N176" s="24" t="s">
        <v>3035</v>
      </c>
      <c r="O176" s="39" t="s">
        <v>3036</v>
      </c>
      <c r="P176" s="39" t="s">
        <v>140</v>
      </c>
      <c r="Q176" s="20" t="s">
        <v>55</v>
      </c>
      <c r="R176" s="20" t="s">
        <v>3037</v>
      </c>
      <c r="S176" s="20" t="s">
        <v>979</v>
      </c>
      <c r="T176" s="20" t="s">
        <v>3038</v>
      </c>
      <c r="U176" s="31" t="s">
        <v>3039</v>
      </c>
      <c r="V176" s="20" t="s">
        <v>3033</v>
      </c>
      <c r="W176" s="39">
        <v>1.07190225E8</v>
      </c>
      <c r="X176" s="20" t="s">
        <v>62</v>
      </c>
      <c r="Y176" s="20" t="s">
        <v>63</v>
      </c>
      <c r="Z176" s="20" t="s">
        <v>793</v>
      </c>
      <c r="AA176" s="20" t="s">
        <v>3037</v>
      </c>
      <c r="AB176" s="34" t="s">
        <v>3035</v>
      </c>
      <c r="AC176" s="20" t="s">
        <v>67</v>
      </c>
      <c r="AD176" s="20" t="s">
        <v>3040</v>
      </c>
      <c r="AE176" s="20" t="s">
        <v>3041</v>
      </c>
      <c r="AF176" s="39" t="s">
        <v>3036</v>
      </c>
      <c r="AG176" s="20" t="s">
        <v>3037</v>
      </c>
      <c r="AH176" s="20" t="s">
        <v>140</v>
      </c>
      <c r="AI176" s="34" t="s">
        <v>3042</v>
      </c>
      <c r="AJ176" s="20" t="s">
        <v>3043</v>
      </c>
      <c r="AK176" s="20" t="s">
        <v>3044</v>
      </c>
      <c r="AL176" s="20"/>
      <c r="AM176" s="29"/>
      <c r="AN176" s="29"/>
      <c r="AO176" s="29"/>
      <c r="AP176" s="29"/>
      <c r="AQ176" s="29"/>
      <c r="AR176" s="29"/>
      <c r="AS176" s="29"/>
      <c r="AT176" s="29"/>
      <c r="AU176" s="29"/>
      <c r="AV176" s="29"/>
      <c r="AW176" s="29"/>
      <c r="AX176" s="29"/>
      <c r="AY176" s="29"/>
      <c r="AZ176" s="29"/>
      <c r="BA176" s="29"/>
      <c r="BB176" s="29"/>
      <c r="BC176" s="29"/>
      <c r="BD176" s="29"/>
      <c r="BE176" s="29"/>
      <c r="BF176" s="29"/>
    </row>
    <row r="177" ht="60.0" customHeight="1">
      <c r="A177" s="20" t="s">
        <v>3045</v>
      </c>
      <c r="B177" s="20" t="s">
        <v>3045</v>
      </c>
      <c r="C177" s="20" t="s">
        <v>47</v>
      </c>
      <c r="D177" s="21" t="s">
        <v>76</v>
      </c>
      <c r="E177" s="20" t="s">
        <v>49</v>
      </c>
      <c r="F177" s="20" t="s">
        <v>3046</v>
      </c>
      <c r="G177" s="20" t="s">
        <v>76</v>
      </c>
      <c r="H177" s="23">
        <v>45173.0</v>
      </c>
      <c r="I177" s="23" t="s">
        <v>76</v>
      </c>
      <c r="J177" s="20" t="s">
        <v>3047</v>
      </c>
      <c r="K177" s="20"/>
      <c r="L177" s="20"/>
      <c r="M177" s="93"/>
      <c r="N177" s="68"/>
      <c r="O177" s="39"/>
      <c r="P177" s="39"/>
      <c r="Q177" s="20"/>
      <c r="R177" s="20"/>
      <c r="S177" s="20"/>
      <c r="T177" s="20"/>
      <c r="U177" s="31"/>
      <c r="V177" s="20"/>
      <c r="W177" s="39"/>
      <c r="X177" s="20"/>
      <c r="Y177" s="20"/>
      <c r="Z177" s="20"/>
      <c r="AA177" s="20"/>
      <c r="AB177" s="34"/>
      <c r="AC177" s="20"/>
      <c r="AD177" s="20"/>
      <c r="AE177" s="20"/>
      <c r="AF177" s="39"/>
      <c r="AG177" s="20"/>
      <c r="AH177" s="20"/>
      <c r="AI177" s="34"/>
      <c r="AJ177" s="20"/>
      <c r="AK177" s="20"/>
      <c r="AL177" s="20" t="s">
        <v>3048</v>
      </c>
      <c r="AM177" s="29"/>
      <c r="AN177" s="29"/>
      <c r="AO177" s="29"/>
      <c r="AP177" s="29"/>
      <c r="AQ177" s="29"/>
      <c r="AR177" s="29"/>
      <c r="AS177" s="29"/>
      <c r="AT177" s="29"/>
      <c r="AU177" s="29"/>
      <c r="AV177" s="29"/>
      <c r="AW177" s="29"/>
      <c r="AX177" s="29"/>
      <c r="AY177" s="29"/>
      <c r="AZ177" s="29"/>
      <c r="BA177" s="29"/>
      <c r="BB177" s="29"/>
      <c r="BC177" s="29"/>
      <c r="BD177" s="29"/>
      <c r="BE177" s="29"/>
      <c r="BF177" s="29"/>
    </row>
    <row r="178" ht="60.0" customHeight="1">
      <c r="A178" s="20" t="s">
        <v>3049</v>
      </c>
      <c r="B178" s="20" t="s">
        <v>3049</v>
      </c>
      <c r="C178" s="20" t="s">
        <v>231</v>
      </c>
      <c r="D178" s="21" t="s">
        <v>48</v>
      </c>
      <c r="E178" s="20" t="s">
        <v>49</v>
      </c>
      <c r="F178" s="20" t="s">
        <v>3050</v>
      </c>
      <c r="G178" s="20" t="s">
        <v>3050</v>
      </c>
      <c r="H178" s="23">
        <v>45279.0</v>
      </c>
      <c r="I178" s="23">
        <f>'17025 SAL'!$H178+$AN$1</f>
        <v>46739</v>
      </c>
      <c r="J178" s="23">
        <v>45516.0</v>
      </c>
      <c r="K178" s="20"/>
      <c r="L178" s="20" t="s">
        <v>3051</v>
      </c>
      <c r="M178" s="24" t="s">
        <v>3052</v>
      </c>
      <c r="N178" s="34"/>
      <c r="O178" s="39" t="s">
        <v>3053</v>
      </c>
      <c r="P178" s="39" t="s">
        <v>140</v>
      </c>
      <c r="Q178" s="20" t="s">
        <v>55</v>
      </c>
      <c r="R178" s="20" t="s">
        <v>3054</v>
      </c>
      <c r="S178" s="20" t="s">
        <v>57</v>
      </c>
      <c r="T178" s="20" t="s">
        <v>3055</v>
      </c>
      <c r="U178" s="31" t="s">
        <v>3056</v>
      </c>
      <c r="V178" s="20" t="s">
        <v>3057</v>
      </c>
      <c r="W178" s="39" t="s">
        <v>3058</v>
      </c>
      <c r="X178" s="20" t="s">
        <v>2256</v>
      </c>
      <c r="Y178" s="20" t="s">
        <v>63</v>
      </c>
      <c r="Z178" s="20" t="s">
        <v>2211</v>
      </c>
      <c r="AA178" s="20" t="s">
        <v>3054</v>
      </c>
      <c r="AB178" s="38" t="s">
        <v>3059</v>
      </c>
      <c r="AC178" s="20" t="s">
        <v>347</v>
      </c>
      <c r="AD178" s="20" t="s">
        <v>1143</v>
      </c>
      <c r="AE178" s="20" t="s">
        <v>3060</v>
      </c>
      <c r="AF178" s="39" t="s">
        <v>3053</v>
      </c>
      <c r="AG178" s="20" t="s">
        <v>3054</v>
      </c>
      <c r="AH178" s="20" t="s">
        <v>140</v>
      </c>
      <c r="AI178" s="38" t="s">
        <v>3061</v>
      </c>
      <c r="AJ178" s="20" t="s">
        <v>3062</v>
      </c>
      <c r="AK178" s="20" t="s">
        <v>3049</v>
      </c>
      <c r="AL178" s="20"/>
      <c r="AM178" s="16"/>
      <c r="AN178" s="16"/>
      <c r="AO178" s="16"/>
      <c r="AP178" s="16"/>
      <c r="AQ178" s="16"/>
      <c r="AR178" s="16"/>
      <c r="AS178" s="16"/>
      <c r="AT178" s="16"/>
      <c r="AU178" s="16"/>
      <c r="AV178" s="16"/>
      <c r="AW178" s="16"/>
      <c r="AX178" s="16"/>
      <c r="AY178" s="16"/>
      <c r="AZ178" s="16"/>
      <c r="BA178" s="16"/>
      <c r="BB178" s="16"/>
      <c r="BC178" s="16"/>
      <c r="BD178" s="16"/>
      <c r="BE178" s="16"/>
      <c r="BF178" s="16"/>
    </row>
    <row r="179" ht="60.0" customHeight="1">
      <c r="A179" s="20" t="s">
        <v>3063</v>
      </c>
      <c r="B179" s="20" t="s">
        <v>3064</v>
      </c>
      <c r="C179" s="20" t="s">
        <v>47</v>
      </c>
      <c r="D179" s="21" t="s">
        <v>48</v>
      </c>
      <c r="E179" s="20" t="s">
        <v>49</v>
      </c>
      <c r="F179" s="20" t="s">
        <v>3065</v>
      </c>
      <c r="G179" s="20" t="s">
        <v>3065</v>
      </c>
      <c r="H179" s="23">
        <v>45371.0</v>
      </c>
      <c r="I179" s="23">
        <f>'17025 SAL'!$H179+$AN$1</f>
        <v>46831</v>
      </c>
      <c r="J179" s="23">
        <v>45740.0</v>
      </c>
      <c r="K179" s="20"/>
      <c r="L179" s="20" t="s">
        <v>3066</v>
      </c>
      <c r="M179" s="38" t="s">
        <v>3067</v>
      </c>
      <c r="N179" s="38" t="s">
        <v>3068</v>
      </c>
      <c r="O179" s="39" t="s">
        <v>3069</v>
      </c>
      <c r="P179" s="39" t="s">
        <v>140</v>
      </c>
      <c r="Q179" s="20" t="s">
        <v>55</v>
      </c>
      <c r="R179" s="20" t="s">
        <v>3070</v>
      </c>
      <c r="S179" s="20" t="s">
        <v>121</v>
      </c>
      <c r="T179" s="20">
        <v>3.101790951E9</v>
      </c>
      <c r="U179" s="31" t="s">
        <v>3071</v>
      </c>
      <c r="V179" s="20" t="s">
        <v>3072</v>
      </c>
      <c r="W179" s="39">
        <v>1.08920218E8</v>
      </c>
      <c r="X179" s="20" t="s">
        <v>62</v>
      </c>
      <c r="Y179" s="20" t="s">
        <v>63</v>
      </c>
      <c r="Z179" s="20" t="s">
        <v>411</v>
      </c>
      <c r="AA179" s="20" t="s">
        <v>3073</v>
      </c>
      <c r="AB179" s="34" t="s">
        <v>3074</v>
      </c>
      <c r="AC179" s="20" t="s">
        <v>285</v>
      </c>
      <c r="AD179" s="20" t="s">
        <v>3075</v>
      </c>
      <c r="AE179" s="20" t="s">
        <v>3076</v>
      </c>
      <c r="AF179" s="39">
        <v>2.5921212E7</v>
      </c>
      <c r="AG179" s="20" t="s">
        <v>3077</v>
      </c>
      <c r="AH179" s="20" t="s">
        <v>140</v>
      </c>
      <c r="AI179" s="34" t="s">
        <v>3068</v>
      </c>
      <c r="AJ179" s="20" t="s">
        <v>3078</v>
      </c>
      <c r="AK179" s="20" t="s">
        <v>3063</v>
      </c>
      <c r="AL179" s="20"/>
      <c r="AM179" s="29"/>
      <c r="AN179" s="29"/>
      <c r="AO179" s="29"/>
      <c r="AP179" s="29"/>
      <c r="AQ179" s="29"/>
      <c r="AR179" s="29"/>
      <c r="AS179" s="29"/>
      <c r="AT179" s="29"/>
      <c r="AU179" s="29"/>
      <c r="AV179" s="29"/>
      <c r="AW179" s="29"/>
      <c r="AX179" s="29"/>
      <c r="AY179" s="29"/>
      <c r="AZ179" s="29"/>
      <c r="BA179" s="29"/>
      <c r="BB179" s="29"/>
      <c r="BC179" s="29"/>
      <c r="BD179" s="29"/>
      <c r="BE179" s="29"/>
      <c r="BF179" s="29"/>
    </row>
    <row r="180" ht="60.0" customHeight="1">
      <c r="A180" s="20" t="s">
        <v>3079</v>
      </c>
      <c r="B180" s="20" t="s">
        <v>3080</v>
      </c>
      <c r="C180" s="20" t="s">
        <v>47</v>
      </c>
      <c r="D180" s="21" t="s">
        <v>48</v>
      </c>
      <c r="E180" s="20" t="s">
        <v>49</v>
      </c>
      <c r="F180" s="20" t="s">
        <v>3081</v>
      </c>
      <c r="G180" s="20" t="s">
        <v>3081</v>
      </c>
      <c r="H180" s="23">
        <v>45401.0</v>
      </c>
      <c r="I180" s="23">
        <v>46862.0</v>
      </c>
      <c r="J180" s="23">
        <v>45847.0</v>
      </c>
      <c r="K180" s="20"/>
      <c r="L180" s="20" t="s">
        <v>3082</v>
      </c>
      <c r="M180" s="24" t="s">
        <v>3083</v>
      </c>
      <c r="N180" s="24" t="s">
        <v>3084</v>
      </c>
      <c r="O180" s="39" t="s">
        <v>3085</v>
      </c>
      <c r="P180" s="39" t="s">
        <v>140</v>
      </c>
      <c r="Q180" s="20" t="s">
        <v>55</v>
      </c>
      <c r="R180" s="20" t="s">
        <v>3086</v>
      </c>
      <c r="S180" s="20" t="s">
        <v>979</v>
      </c>
      <c r="T180" s="20">
        <v>3.101176992E9</v>
      </c>
      <c r="U180" s="31" t="s">
        <v>3087</v>
      </c>
      <c r="V180" s="20" t="s">
        <v>3088</v>
      </c>
      <c r="W180" s="39" t="s">
        <v>3089</v>
      </c>
      <c r="X180" s="20" t="s">
        <v>62</v>
      </c>
      <c r="Y180" s="20" t="s">
        <v>63</v>
      </c>
      <c r="Z180" s="20" t="s">
        <v>3090</v>
      </c>
      <c r="AA180" s="20" t="s">
        <v>3091</v>
      </c>
      <c r="AB180" s="38" t="s">
        <v>3092</v>
      </c>
      <c r="AC180" s="20" t="s">
        <v>2173</v>
      </c>
      <c r="AD180" s="20" t="s">
        <v>170</v>
      </c>
      <c r="AE180" s="20" t="s">
        <v>3093</v>
      </c>
      <c r="AF180" s="39" t="s">
        <v>3094</v>
      </c>
      <c r="AG180" s="20" t="s">
        <v>3091</v>
      </c>
      <c r="AH180" s="20" t="s">
        <v>140</v>
      </c>
      <c r="AI180" s="38" t="s">
        <v>3095</v>
      </c>
      <c r="AJ180" s="20" t="s">
        <v>3096</v>
      </c>
      <c r="AK180" s="20"/>
      <c r="AL180" s="20"/>
      <c r="AM180" s="29"/>
      <c r="AN180" s="29"/>
      <c r="AO180" s="29"/>
      <c r="AP180" s="29"/>
      <c r="AQ180" s="29"/>
      <c r="AR180" s="29"/>
      <c r="AS180" s="29"/>
      <c r="AT180" s="29"/>
      <c r="AU180" s="29"/>
      <c r="AV180" s="29"/>
      <c r="AW180" s="29"/>
      <c r="AX180" s="29"/>
      <c r="AY180" s="29"/>
      <c r="AZ180" s="29"/>
      <c r="BA180" s="29"/>
      <c r="BB180" s="29"/>
      <c r="BC180" s="29"/>
      <c r="BD180" s="29"/>
      <c r="BE180" s="29"/>
      <c r="BF180" s="29"/>
    </row>
    <row r="181" ht="60.0" customHeight="1">
      <c r="A181" s="20" t="s">
        <v>3045</v>
      </c>
      <c r="B181" s="20" t="s">
        <v>3045</v>
      </c>
      <c r="C181" s="20" t="s">
        <v>47</v>
      </c>
      <c r="D181" s="21" t="s">
        <v>48</v>
      </c>
      <c r="E181" s="20" t="s">
        <v>49</v>
      </c>
      <c r="F181" s="20" t="s">
        <v>3097</v>
      </c>
      <c r="G181" s="20" t="s">
        <v>3097</v>
      </c>
      <c r="H181" s="23"/>
      <c r="I181" s="23"/>
      <c r="J181" s="23">
        <v>46006.0</v>
      </c>
      <c r="K181" s="20"/>
      <c r="L181" s="20" t="s">
        <v>3098</v>
      </c>
      <c r="M181" s="24" t="s">
        <v>3099</v>
      </c>
      <c r="N181" s="24" t="s">
        <v>3100</v>
      </c>
      <c r="O181" s="20" t="s">
        <v>3101</v>
      </c>
      <c r="P181" s="20" t="s">
        <v>140</v>
      </c>
      <c r="Q181" s="20" t="s">
        <v>1135</v>
      </c>
      <c r="R181" s="20" t="s">
        <v>3102</v>
      </c>
      <c r="S181" s="20" t="s">
        <v>1137</v>
      </c>
      <c r="T181" s="20" t="s">
        <v>3103</v>
      </c>
      <c r="U181" s="20" t="s">
        <v>3104</v>
      </c>
      <c r="V181" s="20" t="s">
        <v>3105</v>
      </c>
      <c r="W181" s="20" t="s">
        <v>3106</v>
      </c>
      <c r="X181" s="20" t="s">
        <v>529</v>
      </c>
      <c r="Y181" s="20" t="s">
        <v>1471</v>
      </c>
      <c r="Z181" s="20" t="s">
        <v>3107</v>
      </c>
      <c r="AA181" s="20" t="s">
        <v>3102</v>
      </c>
      <c r="AB181" s="20" t="s">
        <v>3108</v>
      </c>
      <c r="AC181" s="20" t="s">
        <v>3109</v>
      </c>
      <c r="AD181" s="20" t="s">
        <v>3110</v>
      </c>
      <c r="AE181" s="20" t="s">
        <v>3111</v>
      </c>
      <c r="AF181" s="20" t="s">
        <v>3112</v>
      </c>
      <c r="AG181" s="20" t="s">
        <v>3102</v>
      </c>
      <c r="AH181" s="20" t="s">
        <v>140</v>
      </c>
      <c r="AI181" s="20" t="s">
        <v>3113</v>
      </c>
      <c r="AJ181" s="20" t="s">
        <v>3114</v>
      </c>
      <c r="AK181" s="20" t="s">
        <v>3115</v>
      </c>
      <c r="AL181" s="20"/>
      <c r="AM181" s="29"/>
      <c r="AN181" s="29"/>
      <c r="AO181" s="29"/>
      <c r="AP181" s="29"/>
      <c r="AQ181" s="29"/>
      <c r="AR181" s="29"/>
      <c r="AS181" s="29"/>
      <c r="AT181" s="29"/>
      <c r="AU181" s="29"/>
      <c r="AV181" s="29"/>
      <c r="AW181" s="29"/>
      <c r="AX181" s="29"/>
      <c r="AY181" s="29"/>
      <c r="AZ181" s="29"/>
      <c r="BA181" s="29"/>
      <c r="BB181" s="29"/>
      <c r="BC181" s="29"/>
      <c r="BD181" s="29"/>
      <c r="BE181" s="29"/>
      <c r="BF181" s="29"/>
    </row>
    <row r="182" ht="60.0" customHeight="1">
      <c r="A182" s="20" t="s">
        <v>3116</v>
      </c>
      <c r="B182" s="20" t="s">
        <v>3117</v>
      </c>
      <c r="C182" s="20" t="s">
        <v>231</v>
      </c>
      <c r="D182" s="21" t="s">
        <v>48</v>
      </c>
      <c r="E182" s="20" t="s">
        <v>49</v>
      </c>
      <c r="F182" s="20" t="s">
        <v>3118</v>
      </c>
      <c r="G182" s="20" t="s">
        <v>3118</v>
      </c>
      <c r="H182" s="23">
        <v>45485.0</v>
      </c>
      <c r="I182" s="23" t="s">
        <v>76</v>
      </c>
      <c r="J182" s="23">
        <v>45754.0</v>
      </c>
      <c r="K182" s="20"/>
      <c r="L182" s="20" t="s">
        <v>1432</v>
      </c>
      <c r="M182" s="24" t="s">
        <v>3119</v>
      </c>
      <c r="N182" s="24" t="s">
        <v>3120</v>
      </c>
      <c r="O182" s="39" t="s">
        <v>3121</v>
      </c>
      <c r="P182" s="39" t="s">
        <v>140</v>
      </c>
      <c r="Q182" s="20" t="s">
        <v>55</v>
      </c>
      <c r="R182" s="20" t="s">
        <v>3122</v>
      </c>
      <c r="S182" s="20" t="s">
        <v>121</v>
      </c>
      <c r="T182" s="20">
        <v>3.102872112E9</v>
      </c>
      <c r="U182" s="31" t="s">
        <v>3123</v>
      </c>
      <c r="V182" s="20" t="s">
        <v>3124</v>
      </c>
      <c r="W182" s="39" t="s">
        <v>3125</v>
      </c>
      <c r="X182" s="20" t="s">
        <v>62</v>
      </c>
      <c r="Y182" s="20" t="s">
        <v>63</v>
      </c>
      <c r="Z182" s="20" t="s">
        <v>3126</v>
      </c>
      <c r="AA182" s="20" t="s">
        <v>3127</v>
      </c>
      <c r="AB182" s="38" t="s">
        <v>3128</v>
      </c>
      <c r="AC182" s="20" t="s">
        <v>3129</v>
      </c>
      <c r="AD182" s="20" t="s">
        <v>1143</v>
      </c>
      <c r="AE182" s="20" t="s">
        <v>3130</v>
      </c>
      <c r="AF182" s="39" t="s">
        <v>3121</v>
      </c>
      <c r="AG182" s="20" t="s">
        <v>3127</v>
      </c>
      <c r="AH182" s="20" t="s">
        <v>140</v>
      </c>
      <c r="AI182" s="38" t="s">
        <v>3131</v>
      </c>
      <c r="AJ182" s="20" t="s">
        <v>3132</v>
      </c>
      <c r="AK182" s="20" t="s">
        <v>3117</v>
      </c>
      <c r="AL182" s="20"/>
      <c r="AM182" s="29"/>
      <c r="AN182" s="29"/>
      <c r="AO182" s="29"/>
      <c r="AP182" s="29"/>
      <c r="AQ182" s="29"/>
      <c r="AR182" s="29"/>
      <c r="AS182" s="29"/>
      <c r="AT182" s="29"/>
      <c r="AU182" s="29"/>
      <c r="AV182" s="29"/>
      <c r="AW182" s="29"/>
      <c r="AX182" s="29"/>
      <c r="AY182" s="29"/>
      <c r="AZ182" s="29"/>
      <c r="BA182" s="29"/>
      <c r="BB182" s="29"/>
      <c r="BC182" s="29"/>
      <c r="BD182" s="29"/>
      <c r="BE182" s="29"/>
      <c r="BF182" s="29"/>
    </row>
    <row r="183" ht="60.0" customHeight="1">
      <c r="A183" s="20" t="s">
        <v>3133</v>
      </c>
      <c r="B183" s="20" t="s">
        <v>377</v>
      </c>
      <c r="C183" s="20" t="s">
        <v>47</v>
      </c>
      <c r="D183" s="21" t="s">
        <v>2911</v>
      </c>
      <c r="E183" s="20" t="s">
        <v>157</v>
      </c>
      <c r="F183" s="20" t="s">
        <v>3134</v>
      </c>
      <c r="G183" s="20"/>
      <c r="H183" s="23">
        <v>45681.0</v>
      </c>
      <c r="I183" s="23" t="s">
        <v>140</v>
      </c>
      <c r="J183" s="20"/>
      <c r="K183" s="20"/>
      <c r="L183" s="20" t="s">
        <v>3135</v>
      </c>
      <c r="M183" s="24" t="s">
        <v>3136</v>
      </c>
      <c r="N183" s="34" t="s">
        <v>3137</v>
      </c>
      <c r="O183" s="39" t="s">
        <v>3138</v>
      </c>
      <c r="P183" s="39" t="s">
        <v>140</v>
      </c>
      <c r="Q183" s="20" t="s">
        <v>55</v>
      </c>
      <c r="R183" s="20" t="s">
        <v>3139</v>
      </c>
      <c r="S183" s="20" t="s">
        <v>490</v>
      </c>
      <c r="T183" s="20">
        <v>4.00004215E9</v>
      </c>
      <c r="U183" s="31" t="s">
        <v>734</v>
      </c>
      <c r="V183" s="24" t="s">
        <v>388</v>
      </c>
      <c r="W183" s="24">
        <v>2.05330454E8</v>
      </c>
      <c r="X183" s="20" t="s">
        <v>326</v>
      </c>
      <c r="Y183" s="20" t="s">
        <v>63</v>
      </c>
      <c r="Z183" s="26" t="s">
        <v>389</v>
      </c>
      <c r="AA183" s="20" t="s">
        <v>3140</v>
      </c>
      <c r="AB183" s="20" t="s">
        <v>391</v>
      </c>
      <c r="AC183" s="20" t="s">
        <v>108</v>
      </c>
      <c r="AD183" s="20" t="s">
        <v>3141</v>
      </c>
      <c r="AE183" s="20" t="s">
        <v>3142</v>
      </c>
      <c r="AF183" s="20" t="s">
        <v>3143</v>
      </c>
      <c r="AG183" s="20" t="s">
        <v>3144</v>
      </c>
      <c r="AH183" s="20" t="s">
        <v>140</v>
      </c>
      <c r="AI183" s="38" t="s">
        <v>3145</v>
      </c>
      <c r="AJ183" s="20" t="s">
        <v>3096</v>
      </c>
      <c r="AK183" s="20" t="s">
        <v>3142</v>
      </c>
      <c r="AL183" s="20"/>
      <c r="AM183" s="29"/>
      <c r="AN183" s="29"/>
      <c r="AO183" s="29"/>
      <c r="AP183" s="29"/>
      <c r="AQ183" s="29"/>
      <c r="AR183" s="29"/>
      <c r="AS183" s="29"/>
      <c r="AT183" s="29"/>
      <c r="AU183" s="29"/>
      <c r="AV183" s="29"/>
      <c r="AW183" s="29"/>
      <c r="AX183" s="29"/>
      <c r="AY183" s="29"/>
      <c r="AZ183" s="29"/>
      <c r="BA183" s="29"/>
      <c r="BB183" s="29"/>
      <c r="BC183" s="29"/>
      <c r="BD183" s="29"/>
      <c r="BE183" s="29"/>
      <c r="BF183" s="29"/>
    </row>
    <row r="184" ht="60.0" customHeight="1">
      <c r="A184" s="20" t="s">
        <v>3146</v>
      </c>
      <c r="B184" s="20" t="s">
        <v>377</v>
      </c>
      <c r="C184" s="20" t="s">
        <v>47</v>
      </c>
      <c r="D184" s="21" t="s">
        <v>2911</v>
      </c>
      <c r="E184" s="20" t="s">
        <v>157</v>
      </c>
      <c r="F184" s="20" t="s">
        <v>3147</v>
      </c>
      <c r="G184" s="20"/>
      <c r="H184" s="23">
        <v>45681.0</v>
      </c>
      <c r="I184" s="23" t="s">
        <v>140</v>
      </c>
      <c r="J184" s="20"/>
      <c r="K184" s="20"/>
      <c r="L184" s="20" t="s">
        <v>3148</v>
      </c>
      <c r="M184" s="24" t="s">
        <v>3149</v>
      </c>
      <c r="N184" s="55" t="s">
        <v>3150</v>
      </c>
      <c r="O184" s="39" t="s">
        <v>3151</v>
      </c>
      <c r="P184" s="39" t="s">
        <v>140</v>
      </c>
      <c r="Q184" s="20" t="s">
        <v>55</v>
      </c>
      <c r="R184" s="20" t="s">
        <v>3152</v>
      </c>
      <c r="S184" s="20" t="s">
        <v>121</v>
      </c>
      <c r="T184" s="20">
        <v>4.00004215E9</v>
      </c>
      <c r="U184" s="38" t="s">
        <v>3153</v>
      </c>
      <c r="V184" s="24" t="s">
        <v>388</v>
      </c>
      <c r="W184" s="24">
        <v>2.05330454E8</v>
      </c>
      <c r="X184" s="20" t="s">
        <v>326</v>
      </c>
      <c r="Y184" s="20" t="s">
        <v>63</v>
      </c>
      <c r="Z184" s="26" t="s">
        <v>389</v>
      </c>
      <c r="AA184" s="20" t="s">
        <v>3140</v>
      </c>
      <c r="AB184" s="20" t="s">
        <v>391</v>
      </c>
      <c r="AC184" s="20" t="s">
        <v>108</v>
      </c>
      <c r="AD184" s="20" t="s">
        <v>3141</v>
      </c>
      <c r="AE184" s="20" t="s">
        <v>3142</v>
      </c>
      <c r="AF184" s="39" t="s">
        <v>3143</v>
      </c>
      <c r="AG184" s="20" t="s">
        <v>3144</v>
      </c>
      <c r="AH184" s="20" t="s">
        <v>140</v>
      </c>
      <c r="AI184" s="38" t="s">
        <v>3145</v>
      </c>
      <c r="AJ184" s="20" t="s">
        <v>3096</v>
      </c>
      <c r="AK184" s="20" t="s">
        <v>3142</v>
      </c>
      <c r="AL184" s="20"/>
      <c r="AM184" s="29"/>
      <c r="AN184" s="29"/>
      <c r="AO184" s="29"/>
      <c r="AP184" s="29"/>
      <c r="AQ184" s="29"/>
      <c r="AR184" s="29"/>
      <c r="AS184" s="29"/>
      <c r="AT184" s="29"/>
      <c r="AU184" s="29"/>
      <c r="AV184" s="29"/>
      <c r="AW184" s="29"/>
      <c r="AX184" s="29"/>
      <c r="AY184" s="29"/>
      <c r="AZ184" s="29"/>
      <c r="BA184" s="29"/>
      <c r="BB184" s="29"/>
      <c r="BC184" s="29"/>
      <c r="BD184" s="29"/>
      <c r="BE184" s="29"/>
      <c r="BF184" s="29"/>
    </row>
    <row r="185" ht="60.0" customHeight="1">
      <c r="A185" s="20" t="s">
        <v>3154</v>
      </c>
      <c r="B185" s="20" t="s">
        <v>377</v>
      </c>
      <c r="C185" s="20" t="s">
        <v>47</v>
      </c>
      <c r="D185" s="21" t="s">
        <v>2911</v>
      </c>
      <c r="E185" s="20" t="s">
        <v>157</v>
      </c>
      <c r="F185" s="20" t="s">
        <v>3155</v>
      </c>
      <c r="G185" s="20"/>
      <c r="H185" s="23">
        <v>45681.0</v>
      </c>
      <c r="I185" s="23" t="s">
        <v>140</v>
      </c>
      <c r="J185" s="20"/>
      <c r="K185" s="20"/>
      <c r="L185" s="20" t="s">
        <v>3156</v>
      </c>
      <c r="M185" s="24" t="s">
        <v>3157</v>
      </c>
      <c r="N185" s="34" t="s">
        <v>3158</v>
      </c>
      <c r="O185" s="39" t="s">
        <v>3159</v>
      </c>
      <c r="P185" s="39" t="s">
        <v>140</v>
      </c>
      <c r="Q185" s="20" t="s">
        <v>55</v>
      </c>
      <c r="R185" s="20" t="s">
        <v>3152</v>
      </c>
      <c r="S185" s="20" t="s">
        <v>121</v>
      </c>
      <c r="T185" s="20">
        <v>4.00004215E9</v>
      </c>
      <c r="U185" s="38" t="s">
        <v>3160</v>
      </c>
      <c r="V185" s="24" t="s">
        <v>388</v>
      </c>
      <c r="W185" s="24">
        <v>2.05330454E8</v>
      </c>
      <c r="X185" s="20" t="s">
        <v>326</v>
      </c>
      <c r="Y185" s="20" t="s">
        <v>63</v>
      </c>
      <c r="Z185" s="26" t="s">
        <v>389</v>
      </c>
      <c r="AA185" s="20" t="s">
        <v>3140</v>
      </c>
      <c r="AB185" s="20" t="s">
        <v>391</v>
      </c>
      <c r="AC185" s="20" t="s">
        <v>108</v>
      </c>
      <c r="AD185" s="20" t="s">
        <v>3141</v>
      </c>
      <c r="AE185" s="20" t="s">
        <v>3142</v>
      </c>
      <c r="AF185" s="39" t="s">
        <v>3143</v>
      </c>
      <c r="AG185" s="20" t="s">
        <v>3144</v>
      </c>
      <c r="AH185" s="20" t="s">
        <v>140</v>
      </c>
      <c r="AI185" s="38" t="s">
        <v>3145</v>
      </c>
      <c r="AJ185" s="20" t="s">
        <v>3096</v>
      </c>
      <c r="AK185" s="20" t="s">
        <v>3142</v>
      </c>
      <c r="AL185" s="20"/>
      <c r="AM185" s="29"/>
      <c r="AN185" s="29"/>
      <c r="AO185" s="29"/>
      <c r="AP185" s="29"/>
      <c r="AQ185" s="29"/>
      <c r="AR185" s="29"/>
      <c r="AS185" s="29"/>
      <c r="AT185" s="29"/>
      <c r="AU185" s="29"/>
      <c r="AV185" s="29"/>
      <c r="AW185" s="29"/>
      <c r="AX185" s="29"/>
      <c r="AY185" s="29"/>
      <c r="AZ185" s="29"/>
      <c r="BA185" s="29"/>
      <c r="BB185" s="29"/>
      <c r="BC185" s="29"/>
      <c r="BD185" s="29"/>
      <c r="BE185" s="29"/>
      <c r="BF185" s="29"/>
    </row>
    <row r="186" ht="60.0" customHeight="1">
      <c r="A186" s="20" t="s">
        <v>3161</v>
      </c>
      <c r="B186" s="20" t="s">
        <v>377</v>
      </c>
      <c r="C186" s="20" t="s">
        <v>47</v>
      </c>
      <c r="D186" s="21" t="s">
        <v>48</v>
      </c>
      <c r="E186" s="20" t="s">
        <v>157</v>
      </c>
      <c r="F186" s="20" t="s">
        <v>3162</v>
      </c>
      <c r="G186" s="20" t="s">
        <v>3162</v>
      </c>
      <c r="H186" s="23">
        <v>45681.0</v>
      </c>
      <c r="I186" s="23" t="s">
        <v>140</v>
      </c>
      <c r="J186" s="23">
        <v>46041.0</v>
      </c>
      <c r="K186" s="20"/>
      <c r="L186" s="20" t="s">
        <v>3163</v>
      </c>
      <c r="M186" s="24" t="s">
        <v>3164</v>
      </c>
      <c r="N186" s="24" t="s">
        <v>3165</v>
      </c>
      <c r="O186" s="39" t="s">
        <v>3166</v>
      </c>
      <c r="P186" s="39" t="s">
        <v>140</v>
      </c>
      <c r="Q186" s="20" t="s">
        <v>55</v>
      </c>
      <c r="R186" s="20" t="s">
        <v>3167</v>
      </c>
      <c r="S186" s="20" t="s">
        <v>121</v>
      </c>
      <c r="T186" s="20">
        <v>4.00004215E9</v>
      </c>
      <c r="U186" s="38" t="s">
        <v>3168</v>
      </c>
      <c r="V186" s="24" t="s">
        <v>388</v>
      </c>
      <c r="W186" s="24">
        <v>2.05330454E8</v>
      </c>
      <c r="X186" s="20" t="s">
        <v>326</v>
      </c>
      <c r="Y186" s="20" t="s">
        <v>63</v>
      </c>
      <c r="Z186" s="26" t="s">
        <v>389</v>
      </c>
      <c r="AA186" s="20" t="s">
        <v>3140</v>
      </c>
      <c r="AB186" s="20" t="s">
        <v>391</v>
      </c>
      <c r="AC186" s="20" t="s">
        <v>108</v>
      </c>
      <c r="AD186" s="20" t="s">
        <v>3141</v>
      </c>
      <c r="AE186" s="20" t="s">
        <v>3142</v>
      </c>
      <c r="AF186" s="39" t="s">
        <v>3143</v>
      </c>
      <c r="AG186" s="20" t="s">
        <v>3144</v>
      </c>
      <c r="AH186" s="20" t="s">
        <v>140</v>
      </c>
      <c r="AI186" s="38" t="s">
        <v>3145</v>
      </c>
      <c r="AJ186" s="20" t="s">
        <v>3096</v>
      </c>
      <c r="AK186" s="20" t="s">
        <v>3142</v>
      </c>
      <c r="AL186" s="20"/>
      <c r="AM186" s="29"/>
      <c r="AN186" s="29"/>
      <c r="AO186" s="29"/>
      <c r="AP186" s="29"/>
      <c r="AQ186" s="29"/>
      <c r="AR186" s="29"/>
      <c r="AS186" s="29"/>
      <c r="AT186" s="29"/>
      <c r="AU186" s="29"/>
      <c r="AV186" s="29"/>
      <c r="AW186" s="29"/>
      <c r="AX186" s="29"/>
      <c r="AY186" s="29"/>
      <c r="AZ186" s="29"/>
      <c r="BA186" s="29"/>
      <c r="BB186" s="29"/>
      <c r="BC186" s="29"/>
      <c r="BD186" s="29"/>
      <c r="BE186" s="29"/>
      <c r="BF186" s="29"/>
    </row>
    <row r="187" ht="60.0" customHeight="1">
      <c r="A187" s="20" t="s">
        <v>2888</v>
      </c>
      <c r="B187" s="20" t="s">
        <v>2888</v>
      </c>
      <c r="C187" s="20" t="s">
        <v>47</v>
      </c>
      <c r="D187" s="21" t="s">
        <v>2027</v>
      </c>
      <c r="E187" s="20" t="s">
        <v>49</v>
      </c>
      <c r="F187" s="20" t="s">
        <v>3169</v>
      </c>
      <c r="G187" s="20"/>
      <c r="H187" s="23"/>
      <c r="I187" s="23"/>
      <c r="J187" s="20"/>
      <c r="K187" s="20"/>
      <c r="L187" s="20" t="s">
        <v>3170</v>
      </c>
      <c r="M187" s="24" t="s">
        <v>3171</v>
      </c>
      <c r="N187" s="24" t="s">
        <v>3172</v>
      </c>
      <c r="O187" s="39" t="s">
        <v>3173</v>
      </c>
      <c r="P187" s="39" t="s">
        <v>140</v>
      </c>
      <c r="Q187" s="20" t="s">
        <v>55</v>
      </c>
      <c r="R187" s="20" t="s">
        <v>3174</v>
      </c>
      <c r="S187" s="20" t="s">
        <v>57</v>
      </c>
      <c r="T187" s="39" t="s">
        <v>3175</v>
      </c>
      <c r="U187" s="31" t="s">
        <v>3176</v>
      </c>
      <c r="V187" s="20" t="s">
        <v>3177</v>
      </c>
      <c r="W187" s="39" t="s">
        <v>3178</v>
      </c>
      <c r="X187" s="20" t="s">
        <v>529</v>
      </c>
      <c r="Y187" s="20" t="s">
        <v>63</v>
      </c>
      <c r="Z187" s="20" t="s">
        <v>167</v>
      </c>
      <c r="AA187" s="20" t="s">
        <v>3179</v>
      </c>
      <c r="AB187" s="38" t="s">
        <v>3180</v>
      </c>
      <c r="AC187" s="20" t="s">
        <v>3181</v>
      </c>
      <c r="AD187" s="20" t="s">
        <v>1143</v>
      </c>
      <c r="AE187" s="20" t="s">
        <v>3182</v>
      </c>
      <c r="AF187" s="39" t="s">
        <v>2904</v>
      </c>
      <c r="AG187" s="20" t="s">
        <v>3183</v>
      </c>
      <c r="AH187" s="20" t="s">
        <v>140</v>
      </c>
      <c r="AI187" s="38" t="s">
        <v>3184</v>
      </c>
      <c r="AJ187" s="20" t="s">
        <v>3185</v>
      </c>
      <c r="AK187" s="20" t="s">
        <v>2888</v>
      </c>
      <c r="AL187" s="20"/>
      <c r="AM187" s="29"/>
      <c r="AN187" s="29"/>
      <c r="AO187" s="29"/>
      <c r="AP187" s="29"/>
      <c r="AQ187" s="29"/>
      <c r="AR187" s="29"/>
      <c r="AS187" s="29"/>
      <c r="AT187" s="29"/>
      <c r="AU187" s="29"/>
      <c r="AV187" s="29"/>
      <c r="AW187" s="29"/>
      <c r="AX187" s="29"/>
      <c r="AY187" s="29"/>
      <c r="AZ187" s="29"/>
      <c r="BA187" s="29"/>
      <c r="BB187" s="29"/>
      <c r="BC187" s="29"/>
      <c r="BD187" s="29"/>
      <c r="BE187" s="29"/>
      <c r="BF187" s="29"/>
    </row>
    <row r="188" ht="60.0" customHeight="1">
      <c r="A188" s="20" t="s">
        <v>3186</v>
      </c>
      <c r="B188" s="20" t="s">
        <v>3186</v>
      </c>
      <c r="C188" s="20" t="s">
        <v>47</v>
      </c>
      <c r="D188" s="21" t="s">
        <v>48</v>
      </c>
      <c r="E188" s="20" t="s">
        <v>49</v>
      </c>
      <c r="F188" s="20" t="s">
        <v>3187</v>
      </c>
      <c r="G188" s="20" t="s">
        <v>3187</v>
      </c>
      <c r="H188" s="23">
        <v>45617.0</v>
      </c>
      <c r="I188" s="23" t="s">
        <v>140</v>
      </c>
      <c r="J188" s="23">
        <v>45986.0</v>
      </c>
      <c r="K188" s="20"/>
      <c r="L188" s="20" t="s">
        <v>824</v>
      </c>
      <c r="M188" s="24" t="s">
        <v>3188</v>
      </c>
      <c r="N188" s="24" t="s">
        <v>3189</v>
      </c>
      <c r="O188" s="39" t="s">
        <v>3190</v>
      </c>
      <c r="P188" s="39" t="s">
        <v>140</v>
      </c>
      <c r="Q188" s="20" t="s">
        <v>55</v>
      </c>
      <c r="R188" s="20" t="s">
        <v>3191</v>
      </c>
      <c r="S188" s="20" t="s">
        <v>979</v>
      </c>
      <c r="T188" s="20" t="s">
        <v>3192</v>
      </c>
      <c r="U188" s="20" t="s">
        <v>3190</v>
      </c>
      <c r="V188" s="20" t="s">
        <v>3193</v>
      </c>
      <c r="W188" s="39" t="s">
        <v>3194</v>
      </c>
      <c r="X188" s="20" t="s">
        <v>304</v>
      </c>
      <c r="Y188" s="20" t="s">
        <v>63</v>
      </c>
      <c r="Z188" s="20" t="s">
        <v>3195</v>
      </c>
      <c r="AA188" s="20" t="s">
        <v>3196</v>
      </c>
      <c r="AB188" s="38" t="s">
        <v>3197</v>
      </c>
      <c r="AC188" s="20" t="s">
        <v>3198</v>
      </c>
      <c r="AD188" s="20" t="s">
        <v>3075</v>
      </c>
      <c r="AE188" s="20" t="s">
        <v>3193</v>
      </c>
      <c r="AF188" s="20">
        <v>8.9865654E7</v>
      </c>
      <c r="AG188" s="20" t="s">
        <v>3196</v>
      </c>
      <c r="AH188" s="20" t="s">
        <v>140</v>
      </c>
      <c r="AI188" s="38" t="s">
        <v>3197</v>
      </c>
      <c r="AJ188" s="20" t="s">
        <v>3199</v>
      </c>
      <c r="AK188" s="20" t="s">
        <v>3186</v>
      </c>
      <c r="AL188" s="20"/>
      <c r="AM188" s="29"/>
      <c r="AN188" s="29"/>
      <c r="AO188" s="29"/>
      <c r="AP188" s="29"/>
      <c r="AQ188" s="29"/>
      <c r="AR188" s="29"/>
      <c r="AS188" s="29"/>
      <c r="AT188" s="29"/>
      <c r="AU188" s="29"/>
      <c r="AV188" s="29"/>
      <c r="AW188" s="29"/>
      <c r="AX188" s="29"/>
      <c r="AY188" s="29"/>
      <c r="AZ188" s="29"/>
      <c r="BA188" s="29"/>
      <c r="BB188" s="29"/>
      <c r="BC188" s="29"/>
      <c r="BD188" s="29"/>
      <c r="BE188" s="29"/>
      <c r="BF188" s="29"/>
    </row>
    <row r="189" ht="60.0" customHeight="1">
      <c r="A189" s="20" t="s">
        <v>3200</v>
      </c>
      <c r="B189" s="20" t="s">
        <v>3200</v>
      </c>
      <c r="C189" s="20" t="s">
        <v>47</v>
      </c>
      <c r="D189" s="21" t="s">
        <v>2911</v>
      </c>
      <c r="E189" s="20" t="s">
        <v>49</v>
      </c>
      <c r="F189" s="20" t="s">
        <v>3201</v>
      </c>
      <c r="G189" s="20"/>
      <c r="H189" s="23">
        <v>45665.0</v>
      </c>
      <c r="I189" s="23" t="s">
        <v>140</v>
      </c>
      <c r="J189" s="20"/>
      <c r="K189" s="20"/>
      <c r="L189" s="20" t="s">
        <v>3202</v>
      </c>
      <c r="M189" s="24" t="s">
        <v>3203</v>
      </c>
      <c r="N189" s="24" t="s">
        <v>3204</v>
      </c>
      <c r="O189" s="39" t="s">
        <v>3205</v>
      </c>
      <c r="P189" s="39" t="s">
        <v>140</v>
      </c>
      <c r="Q189" s="20" t="s">
        <v>55</v>
      </c>
      <c r="R189" s="20" t="s">
        <v>3206</v>
      </c>
      <c r="S189" s="20" t="s">
        <v>549</v>
      </c>
      <c r="T189" s="20" t="s">
        <v>3207</v>
      </c>
      <c r="U189" s="31" t="s">
        <v>3176</v>
      </c>
      <c r="V189" s="20" t="s">
        <v>3208</v>
      </c>
      <c r="W189" s="39" t="s">
        <v>3209</v>
      </c>
      <c r="X189" s="20" t="s">
        <v>529</v>
      </c>
      <c r="Y189" s="20" t="s">
        <v>3210</v>
      </c>
      <c r="Z189" s="20" t="s">
        <v>3090</v>
      </c>
      <c r="AA189" s="20" t="s">
        <v>3206</v>
      </c>
      <c r="AB189" s="38" t="s">
        <v>3211</v>
      </c>
      <c r="AC189" s="20" t="s">
        <v>3212</v>
      </c>
      <c r="AD189" s="20" t="s">
        <v>3213</v>
      </c>
      <c r="AE189" s="20" t="s">
        <v>3214</v>
      </c>
      <c r="AF189" s="39" t="s">
        <v>3215</v>
      </c>
      <c r="AG189" s="20" t="s">
        <v>3206</v>
      </c>
      <c r="AH189" s="20" t="s">
        <v>140</v>
      </c>
      <c r="AI189" s="38" t="s">
        <v>3216</v>
      </c>
      <c r="AJ189" s="20" t="s">
        <v>3217</v>
      </c>
      <c r="AK189" s="20" t="s">
        <v>3200</v>
      </c>
      <c r="AL189" s="20"/>
      <c r="AM189" s="16"/>
      <c r="AN189" s="16"/>
      <c r="AO189" s="16"/>
      <c r="AP189" s="16"/>
      <c r="AQ189" s="16"/>
      <c r="AR189" s="16"/>
      <c r="AS189" s="16"/>
      <c r="AT189" s="16"/>
      <c r="AU189" s="16"/>
      <c r="AV189" s="16"/>
      <c r="AW189" s="16"/>
      <c r="AX189" s="16"/>
      <c r="AY189" s="16"/>
      <c r="AZ189" s="16"/>
      <c r="BA189" s="16"/>
      <c r="BB189" s="16"/>
      <c r="BC189" s="16"/>
      <c r="BD189" s="16"/>
      <c r="BE189" s="16"/>
      <c r="BF189" s="16"/>
    </row>
    <row r="190" ht="60.0" customHeight="1">
      <c r="A190" s="20" t="s">
        <v>3218</v>
      </c>
      <c r="B190" s="20" t="s">
        <v>3218</v>
      </c>
      <c r="C190" s="20" t="s">
        <v>231</v>
      </c>
      <c r="D190" s="21" t="s">
        <v>48</v>
      </c>
      <c r="E190" s="20" t="s">
        <v>49</v>
      </c>
      <c r="F190" s="20" t="s">
        <v>3219</v>
      </c>
      <c r="G190" s="23">
        <v>46041.0</v>
      </c>
      <c r="H190" s="23">
        <v>45749.0</v>
      </c>
      <c r="I190" s="23" t="s">
        <v>140</v>
      </c>
      <c r="J190" s="20"/>
      <c r="K190" s="20"/>
      <c r="L190" s="20" t="s">
        <v>3220</v>
      </c>
      <c r="M190" s="26" t="s">
        <v>3221</v>
      </c>
      <c r="N190" s="55" t="s">
        <v>3222</v>
      </c>
      <c r="O190" s="39" t="s">
        <v>2573</v>
      </c>
      <c r="P190" s="39" t="s">
        <v>140</v>
      </c>
      <c r="Q190" s="20" t="s">
        <v>2574</v>
      </c>
      <c r="R190" s="20" t="s">
        <v>3223</v>
      </c>
      <c r="S190" s="20" t="s">
        <v>3224</v>
      </c>
      <c r="T190" s="20" t="s">
        <v>3225</v>
      </c>
      <c r="U190" s="20" t="s">
        <v>3226</v>
      </c>
      <c r="V190" s="20" t="s">
        <v>3227</v>
      </c>
      <c r="W190" s="39" t="s">
        <v>3228</v>
      </c>
      <c r="X190" s="20" t="s">
        <v>62</v>
      </c>
      <c r="Y190" s="20" t="s">
        <v>3229</v>
      </c>
      <c r="Z190" s="20" t="s">
        <v>2057</v>
      </c>
      <c r="AA190" s="20" t="s">
        <v>3230</v>
      </c>
      <c r="AB190" s="20" t="s">
        <v>3231</v>
      </c>
      <c r="AC190" s="20" t="s">
        <v>3232</v>
      </c>
      <c r="AD190" s="20" t="s">
        <v>1143</v>
      </c>
      <c r="AE190" s="20" t="s">
        <v>3233</v>
      </c>
      <c r="AF190" s="39" t="s">
        <v>3234</v>
      </c>
      <c r="AG190" s="20" t="s">
        <v>3223</v>
      </c>
      <c r="AH190" s="20" t="s">
        <v>140</v>
      </c>
      <c r="AI190" s="38" t="s">
        <v>3235</v>
      </c>
      <c r="AJ190" s="20" t="s">
        <v>2586</v>
      </c>
      <c r="AK190" s="20" t="s">
        <v>3218</v>
      </c>
      <c r="AL190" s="20"/>
      <c r="AM190" s="16"/>
      <c r="AN190" s="16"/>
      <c r="AO190" s="16"/>
      <c r="AP190" s="16"/>
      <c r="AQ190" s="16"/>
      <c r="AR190" s="16"/>
      <c r="AS190" s="16"/>
      <c r="AT190" s="16"/>
      <c r="AU190" s="16"/>
      <c r="AV190" s="16"/>
      <c r="AW190" s="16"/>
      <c r="AX190" s="16"/>
      <c r="AY190" s="16"/>
      <c r="AZ190" s="16"/>
      <c r="BA190" s="16"/>
      <c r="BB190" s="16"/>
      <c r="BC190" s="16"/>
      <c r="BD190" s="16"/>
      <c r="BE190" s="16"/>
      <c r="BF190" s="16"/>
    </row>
    <row r="191" ht="60.0" customHeight="1">
      <c r="A191" s="20" t="s">
        <v>3236</v>
      </c>
      <c r="B191" s="20" t="s">
        <v>3237</v>
      </c>
      <c r="C191" s="20" t="s">
        <v>47</v>
      </c>
      <c r="D191" s="21" t="s">
        <v>2911</v>
      </c>
      <c r="E191" s="20" t="s">
        <v>49</v>
      </c>
      <c r="F191" s="20" t="s">
        <v>3238</v>
      </c>
      <c r="G191" s="20"/>
      <c r="H191" s="23">
        <v>45849.0</v>
      </c>
      <c r="I191" s="23" t="s">
        <v>140</v>
      </c>
      <c r="J191" s="20"/>
      <c r="K191" s="20"/>
      <c r="L191" s="20" t="s">
        <v>2370</v>
      </c>
      <c r="M191" s="55" t="s">
        <v>3239</v>
      </c>
      <c r="N191" s="55" t="s">
        <v>3240</v>
      </c>
      <c r="O191" s="39" t="s">
        <v>3241</v>
      </c>
      <c r="P191" s="39" t="s">
        <v>140</v>
      </c>
      <c r="Q191" s="20" t="s">
        <v>55</v>
      </c>
      <c r="R191" s="20" t="s">
        <v>3242</v>
      </c>
      <c r="S191" s="20" t="s">
        <v>57</v>
      </c>
      <c r="T191" s="20" t="s">
        <v>3243</v>
      </c>
      <c r="U191" s="20" t="s">
        <v>3190</v>
      </c>
      <c r="V191" s="20" t="s">
        <v>3244</v>
      </c>
      <c r="W191" s="39" t="s">
        <v>3245</v>
      </c>
      <c r="X191" s="20" t="s">
        <v>62</v>
      </c>
      <c r="Y191" s="20" t="s">
        <v>63</v>
      </c>
      <c r="Z191" s="20" t="s">
        <v>3246</v>
      </c>
      <c r="AA191" s="20" t="s">
        <v>3247</v>
      </c>
      <c r="AB191" s="20" t="s">
        <v>3248</v>
      </c>
      <c r="AC191" s="20" t="s">
        <v>3249</v>
      </c>
      <c r="AD191" s="20" t="s">
        <v>3007</v>
      </c>
      <c r="AE191" s="20" t="s">
        <v>3250</v>
      </c>
      <c r="AF191" s="39" t="s">
        <v>3241</v>
      </c>
      <c r="AG191" s="20" t="s">
        <v>3242</v>
      </c>
      <c r="AH191" s="20" t="s">
        <v>140</v>
      </c>
      <c r="AI191" s="38" t="s">
        <v>3251</v>
      </c>
      <c r="AJ191" s="20" t="s">
        <v>3252</v>
      </c>
      <c r="AK191" s="20" t="s">
        <v>3236</v>
      </c>
      <c r="AL191" s="20"/>
      <c r="AM191" s="16"/>
      <c r="AN191" s="16"/>
      <c r="AO191" s="16"/>
      <c r="AP191" s="16"/>
      <c r="AQ191" s="16"/>
      <c r="AR191" s="16"/>
      <c r="AS191" s="16"/>
      <c r="AT191" s="16"/>
      <c r="AU191" s="16"/>
      <c r="AV191" s="16"/>
      <c r="AW191" s="16"/>
      <c r="AX191" s="16"/>
      <c r="AY191" s="16"/>
      <c r="AZ191" s="16"/>
      <c r="BA191" s="16"/>
      <c r="BB191" s="16"/>
      <c r="BC191" s="16"/>
      <c r="BD191" s="16"/>
      <c r="BE191" s="16"/>
      <c r="BF191" s="16"/>
    </row>
    <row r="192" ht="60.0" customHeight="1">
      <c r="A192" s="20" t="s">
        <v>3253</v>
      </c>
      <c r="B192" s="20" t="s">
        <v>3254</v>
      </c>
      <c r="C192" s="20" t="s">
        <v>47</v>
      </c>
      <c r="D192" s="21" t="s">
        <v>2911</v>
      </c>
      <c r="E192" s="20" t="s">
        <v>49</v>
      </c>
      <c r="F192" s="20" t="s">
        <v>3255</v>
      </c>
      <c r="G192" s="20"/>
      <c r="H192" s="23">
        <v>45933.0</v>
      </c>
      <c r="I192" s="23" t="s">
        <v>140</v>
      </c>
      <c r="J192" s="20"/>
      <c r="K192" s="20"/>
      <c r="L192" s="20" t="s">
        <v>1959</v>
      </c>
      <c r="M192" s="20" t="s">
        <v>3256</v>
      </c>
      <c r="N192" s="20" t="s">
        <v>3257</v>
      </c>
      <c r="O192" s="39">
        <v>8.8807026E7</v>
      </c>
      <c r="P192" s="39" t="s">
        <v>140</v>
      </c>
      <c r="Q192" s="20" t="s">
        <v>55</v>
      </c>
      <c r="R192" s="20" t="s">
        <v>3258</v>
      </c>
      <c r="S192" s="20" t="s">
        <v>979</v>
      </c>
      <c r="T192" s="20">
        <v>3.101159124E9</v>
      </c>
      <c r="U192" s="20" t="s">
        <v>3259</v>
      </c>
      <c r="V192" s="20" t="s">
        <v>3260</v>
      </c>
      <c r="W192" s="39">
        <v>1.14060004E8</v>
      </c>
      <c r="X192" s="20" t="s">
        <v>62</v>
      </c>
      <c r="Y192" s="20" t="s">
        <v>63</v>
      </c>
      <c r="Z192" s="20" t="s">
        <v>2022</v>
      </c>
      <c r="AA192" s="20" t="s">
        <v>3258</v>
      </c>
      <c r="AB192" s="20" t="s">
        <v>3261</v>
      </c>
      <c r="AC192" s="20" t="s">
        <v>3262</v>
      </c>
      <c r="AD192" s="20" t="s">
        <v>1143</v>
      </c>
      <c r="AE192" s="20" t="s">
        <v>3263</v>
      </c>
      <c r="AF192" s="39" t="s">
        <v>3264</v>
      </c>
      <c r="AG192" s="20" t="s">
        <v>3258</v>
      </c>
      <c r="AH192" s="20" t="s">
        <v>140</v>
      </c>
      <c r="AI192" s="20" t="s">
        <v>3265</v>
      </c>
      <c r="AJ192" s="20" t="s">
        <v>3252</v>
      </c>
      <c r="AK192" s="20" t="s">
        <v>3254</v>
      </c>
      <c r="AL192" s="20"/>
      <c r="AM192" s="16"/>
      <c r="AN192" s="16"/>
      <c r="AO192" s="16"/>
      <c r="AP192" s="16"/>
      <c r="AQ192" s="16"/>
      <c r="AR192" s="16"/>
      <c r="AS192" s="16"/>
      <c r="AT192" s="16"/>
      <c r="AU192" s="16"/>
      <c r="AV192" s="16"/>
      <c r="AW192" s="16"/>
      <c r="AX192" s="16"/>
      <c r="AY192" s="16"/>
      <c r="AZ192" s="16"/>
      <c r="BA192" s="16"/>
      <c r="BB192" s="16"/>
      <c r="BC192" s="16"/>
      <c r="BD192" s="16"/>
      <c r="BE192" s="16"/>
      <c r="BF192" s="16"/>
    </row>
    <row r="193" ht="60.0" customHeight="1">
      <c r="A193" s="20"/>
      <c r="B193" s="20"/>
      <c r="C193" s="20"/>
      <c r="D193" s="21"/>
      <c r="E193" s="20"/>
      <c r="F193" s="20"/>
      <c r="G193" s="20"/>
      <c r="H193" s="23"/>
      <c r="I193" s="23"/>
      <c r="J193" s="20"/>
      <c r="K193" s="20"/>
      <c r="L193" s="20"/>
      <c r="M193" s="38"/>
      <c r="N193" s="38"/>
      <c r="O193" s="39"/>
      <c r="P193" s="39"/>
      <c r="Q193" s="20"/>
      <c r="R193" s="20"/>
      <c r="S193" s="20"/>
      <c r="T193" s="20"/>
      <c r="U193" s="31"/>
      <c r="V193" s="20"/>
      <c r="W193" s="39"/>
      <c r="X193" s="20"/>
      <c r="Y193" s="20"/>
      <c r="Z193" s="20"/>
      <c r="AA193" s="20"/>
      <c r="AB193" s="38"/>
      <c r="AC193" s="20"/>
      <c r="AD193" s="20"/>
      <c r="AE193" s="20"/>
      <c r="AF193" s="39"/>
      <c r="AG193" s="20"/>
      <c r="AH193" s="20"/>
      <c r="AI193" s="38"/>
      <c r="AJ193" s="20"/>
      <c r="AK193" s="20"/>
      <c r="AL193" s="20"/>
      <c r="AM193" s="16"/>
      <c r="AN193" s="16"/>
      <c r="AO193" s="16"/>
      <c r="AP193" s="16"/>
      <c r="AQ193" s="16"/>
      <c r="AR193" s="16"/>
      <c r="AS193" s="16"/>
      <c r="AT193" s="16"/>
      <c r="AU193" s="16"/>
      <c r="AV193" s="16"/>
      <c r="AW193" s="16"/>
      <c r="AX193" s="16"/>
      <c r="AY193" s="16"/>
      <c r="AZ193" s="16"/>
      <c r="BA193" s="16"/>
      <c r="BB193" s="16"/>
      <c r="BC193" s="16"/>
      <c r="BD193" s="16"/>
      <c r="BE193" s="16"/>
      <c r="BF193" s="16"/>
    </row>
    <row r="194" ht="15.75" customHeight="1">
      <c r="A194" s="20"/>
      <c r="B194" s="20"/>
      <c r="C194" s="20"/>
      <c r="D194" s="21"/>
      <c r="E194" s="20"/>
      <c r="F194" s="20"/>
      <c r="G194" s="20"/>
      <c r="H194" s="23"/>
      <c r="I194" s="23"/>
      <c r="J194" s="20"/>
      <c r="K194" s="20"/>
      <c r="L194" s="20"/>
      <c r="M194" s="38"/>
      <c r="N194" s="38"/>
      <c r="O194" s="39"/>
      <c r="P194" s="39"/>
      <c r="Q194" s="20"/>
      <c r="R194" s="20"/>
      <c r="S194" s="20"/>
      <c r="T194" s="20"/>
      <c r="U194" s="31"/>
      <c r="V194" s="20"/>
      <c r="W194" s="39"/>
      <c r="X194" s="20"/>
      <c r="Y194" s="20"/>
      <c r="Z194" s="20"/>
      <c r="AA194" s="20"/>
      <c r="AB194" s="38"/>
      <c r="AC194" s="20"/>
      <c r="AD194" s="20"/>
      <c r="AE194" s="20"/>
      <c r="AF194" s="39"/>
      <c r="AG194" s="20"/>
      <c r="AH194" s="20"/>
      <c r="AI194" s="38"/>
      <c r="AJ194" s="20"/>
      <c r="AK194" s="20"/>
      <c r="AL194" s="20"/>
      <c r="AM194" s="16"/>
      <c r="AN194" s="16"/>
      <c r="AO194" s="16"/>
      <c r="AP194" s="16"/>
      <c r="AQ194" s="16"/>
      <c r="AR194" s="16"/>
      <c r="AS194" s="16"/>
      <c r="AT194" s="16"/>
      <c r="AU194" s="16"/>
      <c r="AV194" s="16"/>
      <c r="AW194" s="16"/>
      <c r="AX194" s="16"/>
      <c r="AY194" s="16"/>
      <c r="AZ194" s="16"/>
      <c r="BA194" s="16"/>
      <c r="BB194" s="16"/>
      <c r="BC194" s="16"/>
      <c r="BD194" s="16"/>
      <c r="BE194" s="16"/>
      <c r="BF194" s="16"/>
    </row>
    <row r="195" ht="15.75" customHeight="1">
      <c r="A195" s="20"/>
      <c r="B195" s="20"/>
      <c r="C195" s="20"/>
      <c r="D195" s="21"/>
      <c r="E195" s="20"/>
      <c r="F195" s="20"/>
      <c r="G195" s="20"/>
      <c r="H195" s="23"/>
      <c r="I195" s="23"/>
      <c r="J195" s="20"/>
      <c r="K195" s="20"/>
      <c r="L195" s="20"/>
      <c r="M195" s="38"/>
      <c r="N195" s="38"/>
      <c r="O195" s="39"/>
      <c r="P195" s="39"/>
      <c r="Q195" s="20"/>
      <c r="R195" s="20"/>
      <c r="S195" s="20"/>
      <c r="T195" s="20"/>
      <c r="U195" s="31"/>
      <c r="V195" s="20"/>
      <c r="W195" s="39"/>
      <c r="X195" s="20"/>
      <c r="Y195" s="20"/>
      <c r="Z195" s="20"/>
      <c r="AA195" s="20"/>
      <c r="AB195" s="38"/>
      <c r="AC195" s="20"/>
      <c r="AD195" s="20"/>
      <c r="AE195" s="20"/>
      <c r="AF195" s="39"/>
      <c r="AG195" s="20"/>
      <c r="AH195" s="20"/>
      <c r="AI195" s="38"/>
      <c r="AJ195" s="20"/>
      <c r="AK195" s="20"/>
      <c r="AL195" s="20"/>
      <c r="AM195" s="16"/>
      <c r="AN195" s="16"/>
      <c r="AO195" s="16"/>
      <c r="AP195" s="16"/>
      <c r="AQ195" s="16"/>
      <c r="AR195" s="16"/>
      <c r="AS195" s="16"/>
      <c r="AT195" s="16"/>
      <c r="AU195" s="16"/>
      <c r="AV195" s="16"/>
      <c r="AW195" s="16"/>
      <c r="AX195" s="16"/>
      <c r="AY195" s="16"/>
      <c r="AZ195" s="16"/>
      <c r="BA195" s="16"/>
      <c r="BB195" s="16"/>
      <c r="BC195" s="16"/>
      <c r="BD195" s="16"/>
      <c r="BE195" s="16"/>
      <c r="BF195" s="16"/>
    </row>
    <row r="196" ht="15.75" customHeight="1">
      <c r="A196" s="94"/>
      <c r="B196" s="94"/>
      <c r="C196" s="94"/>
      <c r="D196" s="95"/>
      <c r="E196" s="94"/>
      <c r="F196" s="94"/>
      <c r="G196" s="94"/>
      <c r="H196" s="96"/>
      <c r="I196" s="96"/>
      <c r="J196" s="94"/>
      <c r="K196" s="94"/>
      <c r="L196" s="94"/>
      <c r="M196" s="97"/>
      <c r="N196" s="97"/>
      <c r="O196" s="98"/>
      <c r="P196" s="94"/>
      <c r="Q196" s="94"/>
      <c r="R196" s="94"/>
      <c r="S196" s="94"/>
      <c r="T196" s="94"/>
      <c r="U196" s="99"/>
      <c r="V196" s="94"/>
      <c r="W196" s="98"/>
      <c r="X196" s="94"/>
      <c r="Y196" s="94"/>
      <c r="Z196" s="94"/>
      <c r="AA196" s="94"/>
      <c r="AB196" s="94"/>
      <c r="AC196" s="94"/>
      <c r="AD196" s="94"/>
      <c r="AE196" s="94"/>
      <c r="AF196" s="98"/>
      <c r="AG196" s="94"/>
      <c r="AH196" s="94"/>
      <c r="AI196" s="97"/>
      <c r="AJ196" s="94"/>
      <c r="AK196" s="94"/>
      <c r="AL196" s="94"/>
      <c r="AM196" s="16"/>
      <c r="AN196" s="16"/>
      <c r="AO196" s="16"/>
      <c r="AP196" s="16"/>
      <c r="AQ196" s="16"/>
      <c r="AR196" s="16"/>
      <c r="AS196" s="16"/>
      <c r="AT196" s="16"/>
      <c r="AU196" s="16"/>
      <c r="AV196" s="16"/>
      <c r="AW196" s="16"/>
      <c r="AX196" s="16"/>
      <c r="AY196" s="16"/>
      <c r="AZ196" s="16"/>
      <c r="BA196" s="16"/>
      <c r="BB196" s="16"/>
      <c r="BC196" s="16"/>
      <c r="BD196" s="16"/>
      <c r="BE196" s="16"/>
      <c r="BF196" s="16"/>
    </row>
    <row r="197" ht="15.75" customHeight="1">
      <c r="A197" s="94"/>
      <c r="B197" s="94"/>
      <c r="C197" s="94"/>
      <c r="D197" s="95"/>
      <c r="E197" s="94"/>
      <c r="F197" s="94"/>
      <c r="G197" s="94"/>
      <c r="H197" s="96"/>
      <c r="I197" s="96"/>
      <c r="J197" s="94"/>
      <c r="K197" s="94"/>
      <c r="L197" s="94"/>
      <c r="M197" s="97"/>
      <c r="N197" s="97"/>
      <c r="O197" s="98"/>
      <c r="P197" s="94"/>
      <c r="Q197" s="94"/>
      <c r="R197" s="94"/>
      <c r="S197" s="94"/>
      <c r="T197" s="94"/>
      <c r="U197" s="99"/>
      <c r="V197" s="94"/>
      <c r="W197" s="98"/>
      <c r="X197" s="94"/>
      <c r="Y197" s="94"/>
      <c r="Z197" s="94"/>
      <c r="AA197" s="94"/>
      <c r="AB197" s="94"/>
      <c r="AC197" s="94"/>
      <c r="AD197" s="94"/>
      <c r="AE197" s="94"/>
      <c r="AF197" s="98"/>
      <c r="AG197" s="94"/>
      <c r="AH197" s="94"/>
      <c r="AI197" s="97"/>
      <c r="AJ197" s="94"/>
      <c r="AK197" s="94"/>
      <c r="AL197" s="94"/>
      <c r="AM197" s="16"/>
      <c r="AN197" s="16"/>
      <c r="AO197" s="16"/>
      <c r="AP197" s="16"/>
      <c r="AQ197" s="16"/>
      <c r="AR197" s="16"/>
      <c r="AS197" s="16"/>
      <c r="AT197" s="16"/>
      <c r="AU197" s="16"/>
      <c r="AV197" s="16"/>
      <c r="AW197" s="16"/>
      <c r="AX197" s="16"/>
      <c r="AY197" s="16"/>
      <c r="AZ197" s="16"/>
      <c r="BA197" s="16"/>
      <c r="BB197" s="16"/>
      <c r="BC197" s="16"/>
      <c r="BD197" s="16"/>
      <c r="BE197" s="16"/>
      <c r="BF197" s="16"/>
    </row>
    <row r="198" ht="15.75" customHeight="1">
      <c r="A198" s="16"/>
      <c r="B198" s="16"/>
      <c r="C198" s="16"/>
      <c r="D198" s="100"/>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row>
    <row r="199" ht="15.75" customHeight="1">
      <c r="A199" s="70"/>
      <c r="B199" s="70"/>
      <c r="C199" s="16"/>
      <c r="D199" s="100"/>
      <c r="E199" s="16"/>
      <c r="F199" s="70"/>
      <c r="G199" s="16"/>
      <c r="H199" s="16"/>
      <c r="I199" s="16"/>
      <c r="J199" s="16"/>
      <c r="K199" s="16"/>
      <c r="L199" s="70"/>
      <c r="M199" s="70"/>
      <c r="N199" s="70"/>
      <c r="O199" s="70"/>
      <c r="P199" s="70"/>
      <c r="Q199" s="70"/>
      <c r="R199" s="16"/>
      <c r="S199" s="70"/>
      <c r="T199" s="70"/>
      <c r="U199" s="70"/>
      <c r="V199" s="70"/>
      <c r="W199" s="70"/>
      <c r="X199" s="70"/>
      <c r="Y199" s="70"/>
      <c r="Z199" s="70"/>
      <c r="AA199" s="70"/>
      <c r="AB199" s="70"/>
      <c r="AC199" s="70"/>
      <c r="AD199" s="70"/>
      <c r="AE199" s="70"/>
      <c r="AF199" s="70"/>
      <c r="AG199" s="70"/>
      <c r="AH199" s="70"/>
      <c r="AI199" s="70"/>
      <c r="AJ199" s="70"/>
      <c r="AK199" s="70"/>
      <c r="AL199" s="16"/>
      <c r="AM199" s="16"/>
      <c r="AN199" s="16"/>
      <c r="AO199" s="16"/>
      <c r="AP199" s="16"/>
      <c r="AQ199" s="16"/>
      <c r="AR199" s="16"/>
      <c r="AS199" s="16"/>
      <c r="AT199" s="16"/>
      <c r="AU199" s="16"/>
      <c r="AV199" s="16"/>
      <c r="AW199" s="16"/>
      <c r="AX199" s="16"/>
      <c r="AY199" s="16"/>
      <c r="AZ199" s="16"/>
      <c r="BA199" s="16"/>
      <c r="BB199" s="16"/>
      <c r="BC199" s="16"/>
      <c r="BD199" s="16"/>
      <c r="BE199" s="16"/>
      <c r="BF199" s="16"/>
    </row>
    <row r="200" ht="15.75" customHeight="1">
      <c r="A200" s="70"/>
      <c r="B200" s="70"/>
      <c r="C200" s="16"/>
      <c r="D200" s="100"/>
      <c r="E200" s="16"/>
      <c r="F200" s="70"/>
      <c r="G200" s="16"/>
      <c r="H200" s="16"/>
      <c r="I200" s="16"/>
      <c r="J200" s="16"/>
      <c r="K200" s="16"/>
      <c r="L200" s="70"/>
      <c r="M200" s="70"/>
      <c r="N200" s="70"/>
      <c r="O200" s="70"/>
      <c r="P200" s="70"/>
      <c r="Q200" s="70"/>
      <c r="R200" s="70"/>
      <c r="S200" s="70"/>
      <c r="T200" s="70"/>
      <c r="U200" s="70"/>
      <c r="V200" s="70"/>
      <c r="W200" s="70"/>
      <c r="X200" s="70"/>
      <c r="Y200" s="70"/>
      <c r="Z200" s="70"/>
      <c r="AA200" s="70"/>
      <c r="AB200" s="70"/>
      <c r="AC200" s="70"/>
      <c r="AD200" s="70"/>
      <c r="AE200" s="70"/>
      <c r="AF200" s="70"/>
      <c r="AG200" s="70"/>
      <c r="AH200" s="70"/>
      <c r="AI200" s="70"/>
      <c r="AJ200" s="70"/>
      <c r="AK200" s="70"/>
      <c r="AL200" s="16"/>
      <c r="AM200" s="16"/>
      <c r="AN200" s="16"/>
      <c r="AO200" s="16"/>
      <c r="AP200" s="16"/>
      <c r="AQ200" s="16"/>
      <c r="AR200" s="16"/>
      <c r="AS200" s="16"/>
      <c r="AT200" s="16"/>
      <c r="AU200" s="16"/>
      <c r="AV200" s="16"/>
      <c r="AW200" s="16"/>
      <c r="AX200" s="16"/>
      <c r="AY200" s="16"/>
      <c r="AZ200" s="16"/>
      <c r="BA200" s="16"/>
      <c r="BB200" s="16"/>
      <c r="BC200" s="16"/>
      <c r="BD200" s="16"/>
      <c r="BE200" s="16"/>
      <c r="BF200" s="16"/>
    </row>
    <row r="201" ht="15.75" customHeight="1">
      <c r="A201" s="70"/>
      <c r="B201" s="70"/>
      <c r="C201" s="16"/>
      <c r="D201" s="100"/>
      <c r="E201" s="16"/>
      <c r="F201" s="70"/>
      <c r="G201" s="16"/>
      <c r="H201" s="16"/>
      <c r="I201" s="16"/>
      <c r="J201" s="16"/>
      <c r="K201" s="16"/>
      <c r="L201" s="70"/>
      <c r="M201" s="70"/>
      <c r="N201" s="70"/>
      <c r="O201" s="70"/>
      <c r="P201" s="70"/>
      <c r="Q201" s="70"/>
      <c r="R201" s="70"/>
      <c r="S201" s="70"/>
      <c r="T201" s="70"/>
      <c r="U201" s="70"/>
      <c r="V201" s="70"/>
      <c r="W201" s="70"/>
      <c r="X201" s="70"/>
      <c r="Y201" s="70"/>
      <c r="Z201" s="70"/>
      <c r="AA201" s="70"/>
      <c r="AB201" s="70"/>
      <c r="AC201" s="70"/>
      <c r="AD201" s="70"/>
      <c r="AE201" s="70"/>
      <c r="AF201" s="70"/>
      <c r="AG201" s="70"/>
      <c r="AH201" s="70"/>
      <c r="AI201" s="70"/>
      <c r="AJ201" s="70"/>
      <c r="AK201" s="70"/>
      <c r="AL201" s="16"/>
      <c r="AM201" s="16"/>
      <c r="AN201" s="16"/>
      <c r="AO201" s="16"/>
      <c r="AP201" s="16"/>
      <c r="AQ201" s="16"/>
      <c r="AR201" s="16"/>
      <c r="AS201" s="16"/>
      <c r="AT201" s="16"/>
      <c r="AU201" s="16"/>
      <c r="AV201" s="16"/>
      <c r="AW201" s="16"/>
      <c r="AX201" s="16"/>
      <c r="AY201" s="16"/>
      <c r="AZ201" s="16"/>
      <c r="BA201" s="16"/>
      <c r="BB201" s="16"/>
      <c r="BC201" s="16"/>
      <c r="BD201" s="16"/>
      <c r="BE201" s="16"/>
      <c r="BF201" s="16"/>
    </row>
    <row r="202" ht="15.75" customHeight="1">
      <c r="A202" s="70"/>
      <c r="B202" s="70"/>
      <c r="C202" s="16"/>
      <c r="D202" s="100"/>
      <c r="E202" s="16"/>
      <c r="F202" s="70"/>
      <c r="G202" s="16"/>
      <c r="H202" s="16"/>
      <c r="I202" s="16"/>
      <c r="J202" s="16"/>
      <c r="K202" s="16"/>
      <c r="L202" s="70"/>
      <c r="M202" s="70"/>
      <c r="N202" s="70"/>
      <c r="O202" s="70"/>
      <c r="P202" s="70"/>
      <c r="Q202" s="70"/>
      <c r="R202" s="70"/>
      <c r="S202" s="70"/>
      <c r="T202" s="70"/>
      <c r="U202" s="70"/>
      <c r="V202" s="70"/>
      <c r="W202" s="70"/>
      <c r="X202" s="70"/>
      <c r="Y202" s="70"/>
      <c r="Z202" s="70"/>
      <c r="AA202" s="70"/>
      <c r="AB202" s="70"/>
      <c r="AC202" s="70"/>
      <c r="AD202" s="70"/>
      <c r="AE202" s="70"/>
      <c r="AF202" s="70"/>
      <c r="AG202" s="70"/>
      <c r="AH202" s="70"/>
      <c r="AI202" s="70"/>
      <c r="AJ202" s="70"/>
      <c r="AK202" s="70"/>
      <c r="AL202" s="16"/>
      <c r="AM202" s="16"/>
      <c r="AN202" s="16"/>
      <c r="AO202" s="16"/>
      <c r="AP202" s="16"/>
      <c r="AQ202" s="16"/>
      <c r="AR202" s="16"/>
      <c r="AS202" s="16"/>
      <c r="AT202" s="16"/>
      <c r="AU202" s="16"/>
      <c r="AV202" s="16"/>
      <c r="AW202" s="16"/>
      <c r="AX202" s="16"/>
      <c r="AY202" s="16"/>
      <c r="AZ202" s="16"/>
      <c r="BA202" s="16"/>
      <c r="BB202" s="16"/>
      <c r="BC202" s="16"/>
      <c r="BD202" s="16"/>
      <c r="BE202" s="16"/>
      <c r="BF202" s="16"/>
    </row>
    <row r="203" ht="15.75" customHeight="1">
      <c r="A203" s="16"/>
      <c r="B203" s="16"/>
      <c r="C203" s="16"/>
      <c r="D203" s="100"/>
      <c r="E203" s="16"/>
      <c r="F203" s="16"/>
      <c r="G203" s="16"/>
      <c r="H203" s="16"/>
      <c r="I203" s="16"/>
      <c r="J203" s="16"/>
      <c r="K203" s="16"/>
      <c r="L203" s="16"/>
      <c r="M203" s="16"/>
      <c r="N203" s="16"/>
      <c r="O203" s="16"/>
      <c r="P203" s="16"/>
      <c r="Q203" s="70"/>
      <c r="R203" s="16"/>
      <c r="S203" s="16"/>
      <c r="T203" s="16"/>
      <c r="U203" s="16"/>
      <c r="V203" s="16"/>
      <c r="W203" s="16"/>
      <c r="X203" s="16"/>
      <c r="Y203" s="16"/>
      <c r="Z203" s="16"/>
      <c r="AA203" s="16"/>
      <c r="AB203" s="16"/>
      <c r="AC203" s="16"/>
      <c r="AD203" s="16"/>
      <c r="AE203" s="16"/>
      <c r="AF203" s="16"/>
      <c r="AG203" s="16"/>
      <c r="AH203" s="16"/>
      <c r="AI203" s="16"/>
      <c r="AJ203" s="16"/>
      <c r="AK203" s="70"/>
      <c r="AL203" s="16"/>
      <c r="AM203" s="16"/>
      <c r="AN203" s="16"/>
      <c r="AO203" s="16"/>
      <c r="AP203" s="16"/>
      <c r="AQ203" s="16"/>
      <c r="AR203" s="16"/>
      <c r="AS203" s="16"/>
      <c r="AT203" s="16"/>
      <c r="AU203" s="16"/>
      <c r="AV203" s="16"/>
      <c r="AW203" s="16"/>
      <c r="AX203" s="16"/>
      <c r="AY203" s="16"/>
      <c r="AZ203" s="16"/>
      <c r="BA203" s="16"/>
      <c r="BB203" s="16"/>
      <c r="BC203" s="16"/>
      <c r="BD203" s="16"/>
      <c r="BE203" s="16"/>
      <c r="BF203" s="16"/>
    </row>
    <row r="204" ht="15.75" customHeight="1">
      <c r="A204" s="70"/>
      <c r="B204" s="70"/>
      <c r="C204" s="16"/>
      <c r="D204" s="100"/>
      <c r="E204" s="16"/>
      <c r="F204" s="70"/>
      <c r="G204" s="16"/>
      <c r="H204" s="16"/>
      <c r="I204" s="16"/>
      <c r="J204" s="16"/>
      <c r="K204" s="16"/>
      <c r="L204" s="70"/>
      <c r="M204" s="70"/>
      <c r="N204" s="70"/>
      <c r="O204" s="70"/>
      <c r="P204" s="70"/>
      <c r="Q204" s="70"/>
      <c r="R204" s="70"/>
      <c r="S204" s="70"/>
      <c r="T204" s="70"/>
      <c r="U204" s="70"/>
      <c r="V204" s="70"/>
      <c r="W204" s="70"/>
      <c r="X204" s="70"/>
      <c r="Y204" s="70"/>
      <c r="Z204" s="70"/>
      <c r="AA204" s="70"/>
      <c r="AB204" s="70"/>
      <c r="AC204" s="70"/>
      <c r="AD204" s="70"/>
      <c r="AE204" s="70"/>
      <c r="AF204" s="70"/>
      <c r="AG204" s="70"/>
      <c r="AH204" s="70"/>
      <c r="AI204" s="70"/>
      <c r="AJ204" s="70"/>
      <c r="AK204" s="70"/>
      <c r="AL204" s="16"/>
      <c r="AM204" s="16"/>
      <c r="AN204" s="16"/>
      <c r="AO204" s="16"/>
      <c r="AP204" s="16"/>
      <c r="AQ204" s="16"/>
      <c r="AR204" s="16"/>
      <c r="AS204" s="16"/>
      <c r="AT204" s="16"/>
      <c r="AU204" s="16"/>
      <c r="AV204" s="16"/>
      <c r="AW204" s="16"/>
      <c r="AX204" s="16"/>
      <c r="AY204" s="16"/>
      <c r="AZ204" s="16"/>
      <c r="BA204" s="16"/>
      <c r="BB204" s="16"/>
      <c r="BC204" s="16"/>
      <c r="BD204" s="16"/>
      <c r="BE204" s="16"/>
      <c r="BF204" s="16"/>
    </row>
    <row r="205" ht="15.0" customHeight="1">
      <c r="A205" s="101" t="s">
        <v>3266</v>
      </c>
      <c r="C205" s="16"/>
      <c r="D205" s="100"/>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row>
    <row r="206" ht="15.75" customHeight="1">
      <c r="A206" s="102" t="s">
        <v>11</v>
      </c>
      <c r="B206" s="103"/>
      <c r="C206" s="16"/>
      <c r="D206" s="100"/>
      <c r="E206" s="16"/>
      <c r="F206" s="16"/>
      <c r="G206" s="16"/>
      <c r="H206" s="16"/>
      <c r="I206" s="16"/>
      <c r="J206" s="16"/>
      <c r="K206" s="16"/>
      <c r="L206" s="16"/>
      <c r="M206" s="16"/>
      <c r="N206" s="16"/>
      <c r="O206" s="16"/>
      <c r="P206" s="16"/>
      <c r="Q206" s="70"/>
      <c r="R206" s="16"/>
      <c r="S206" s="16"/>
      <c r="T206" s="16"/>
      <c r="U206" s="16"/>
      <c r="V206" s="16"/>
      <c r="W206" s="16"/>
      <c r="X206" s="16"/>
      <c r="Y206" s="16"/>
      <c r="Z206" s="16"/>
      <c r="AA206" s="16"/>
      <c r="AB206" s="16"/>
      <c r="AC206" s="16"/>
      <c r="AD206" s="16"/>
      <c r="AE206" s="16"/>
      <c r="AF206" s="16"/>
      <c r="AG206" s="16"/>
      <c r="AH206" s="16"/>
      <c r="AI206" s="16"/>
      <c r="AJ206" s="16"/>
      <c r="AK206" s="70"/>
      <c r="AL206" s="16"/>
      <c r="AM206" s="16"/>
      <c r="AN206" s="16"/>
      <c r="AO206" s="16"/>
      <c r="AP206" s="16"/>
      <c r="AQ206" s="16"/>
      <c r="AR206" s="16"/>
      <c r="AS206" s="16"/>
      <c r="AT206" s="16"/>
      <c r="AU206" s="16"/>
      <c r="AV206" s="16"/>
      <c r="AW206" s="16"/>
      <c r="AX206" s="16"/>
      <c r="AY206" s="16"/>
      <c r="AZ206" s="16"/>
      <c r="BA206" s="16"/>
      <c r="BB206" s="16"/>
      <c r="BC206" s="16"/>
      <c r="BD206" s="16"/>
      <c r="BE206" s="16"/>
      <c r="BF206" s="16"/>
    </row>
    <row r="207" ht="15.75" customHeight="1">
      <c r="A207" s="21" t="s">
        <v>48</v>
      </c>
      <c r="B207" s="104" t="s">
        <v>3267</v>
      </c>
      <c r="C207" s="16"/>
      <c r="D207" s="100"/>
      <c r="E207" s="16"/>
      <c r="F207" s="70"/>
      <c r="G207" s="16"/>
      <c r="H207" s="16"/>
      <c r="I207" s="16"/>
      <c r="J207" s="16"/>
      <c r="K207" s="16"/>
      <c r="L207" s="70"/>
      <c r="M207" s="70"/>
      <c r="N207" s="70"/>
      <c r="O207" s="70"/>
      <c r="P207" s="70"/>
      <c r="Q207" s="70"/>
      <c r="R207" s="70"/>
      <c r="S207" s="70"/>
      <c r="T207" s="70"/>
      <c r="U207" s="70"/>
      <c r="V207" s="70"/>
      <c r="W207" s="70"/>
      <c r="X207" s="70"/>
      <c r="Y207" s="70"/>
      <c r="Z207" s="70"/>
      <c r="AA207" s="70"/>
      <c r="AB207" s="70"/>
      <c r="AC207" s="70"/>
      <c r="AD207" s="70"/>
      <c r="AE207" s="70"/>
      <c r="AF207" s="70"/>
      <c r="AG207" s="70"/>
      <c r="AH207" s="70"/>
      <c r="AI207" s="70"/>
      <c r="AJ207" s="70"/>
      <c r="AK207" s="70"/>
      <c r="AL207" s="16"/>
      <c r="AM207" s="16"/>
      <c r="AN207" s="16"/>
      <c r="AO207" s="16"/>
      <c r="AP207" s="16"/>
      <c r="AQ207" s="16"/>
      <c r="AR207" s="16"/>
      <c r="AS207" s="16"/>
      <c r="AT207" s="16"/>
      <c r="AU207" s="16"/>
      <c r="AV207" s="16"/>
      <c r="AW207" s="16"/>
      <c r="AX207" s="16"/>
      <c r="AY207" s="16"/>
      <c r="AZ207" s="16"/>
      <c r="BA207" s="16"/>
      <c r="BB207" s="16"/>
      <c r="BC207" s="16"/>
      <c r="BD207" s="16"/>
      <c r="BE207" s="16"/>
      <c r="BF207" s="16"/>
    </row>
    <row r="208" ht="15.75" customHeight="1">
      <c r="A208" s="21" t="s">
        <v>822</v>
      </c>
      <c r="B208" s="104" t="s">
        <v>3268</v>
      </c>
      <c r="C208" s="16"/>
      <c r="D208" s="100"/>
      <c r="E208" s="16"/>
      <c r="F208" s="16"/>
      <c r="G208" s="16"/>
      <c r="H208" s="16"/>
      <c r="I208" s="16"/>
      <c r="J208" s="16"/>
      <c r="K208" s="16"/>
      <c r="L208" s="16"/>
      <c r="M208" s="16"/>
      <c r="N208" s="16"/>
      <c r="O208" s="16"/>
      <c r="P208" s="16"/>
      <c r="Q208" s="70"/>
      <c r="R208" s="16"/>
      <c r="S208" s="16"/>
      <c r="T208" s="16"/>
      <c r="U208" s="16"/>
      <c r="V208" s="16"/>
      <c r="W208" s="16"/>
      <c r="X208" s="16"/>
      <c r="Y208" s="16"/>
      <c r="Z208" s="16"/>
      <c r="AA208" s="16"/>
      <c r="AB208" s="16"/>
      <c r="AC208" s="16"/>
      <c r="AD208" s="16"/>
      <c r="AE208" s="16"/>
      <c r="AF208" s="16"/>
      <c r="AG208" s="16"/>
      <c r="AH208" s="16"/>
      <c r="AI208" s="16"/>
      <c r="AJ208" s="16"/>
      <c r="AK208" s="70"/>
      <c r="AL208" s="16"/>
      <c r="AM208" s="16"/>
      <c r="AN208" s="16"/>
      <c r="AO208" s="16"/>
      <c r="AP208" s="16"/>
      <c r="AQ208" s="16"/>
      <c r="AR208" s="16"/>
      <c r="AS208" s="16"/>
      <c r="AT208" s="16"/>
      <c r="AU208" s="16"/>
      <c r="AV208" s="16"/>
      <c r="AW208" s="16"/>
      <c r="AX208" s="16"/>
      <c r="AY208" s="16"/>
      <c r="AZ208" s="16"/>
      <c r="BA208" s="16"/>
      <c r="BB208" s="16"/>
      <c r="BC208" s="16"/>
      <c r="BD208" s="16"/>
      <c r="BE208" s="16"/>
      <c r="BF208" s="16"/>
    </row>
    <row r="209" ht="15.75" customHeight="1">
      <c r="A209" s="21" t="s">
        <v>213</v>
      </c>
      <c r="B209" s="104" t="s">
        <v>3269</v>
      </c>
      <c r="C209" s="16"/>
      <c r="D209" s="100"/>
      <c r="E209" s="16"/>
      <c r="F209" s="16"/>
      <c r="G209" s="16"/>
      <c r="H209" s="16"/>
      <c r="I209" s="16"/>
      <c r="J209" s="16"/>
      <c r="K209" s="16"/>
      <c r="L209" s="16"/>
      <c r="M209" s="16"/>
      <c r="N209" s="16"/>
      <c r="O209" s="16"/>
      <c r="P209" s="16"/>
      <c r="Q209" s="70"/>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row>
    <row r="210" ht="15.75" customHeight="1">
      <c r="A210" s="21" t="s">
        <v>314</v>
      </c>
      <c r="B210" s="104" t="s">
        <v>3270</v>
      </c>
      <c r="C210" s="16"/>
      <c r="D210" s="100"/>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row>
    <row r="211" ht="15.75" customHeight="1">
      <c r="A211" s="21" t="s">
        <v>2027</v>
      </c>
      <c r="B211" s="104" t="s">
        <v>3271</v>
      </c>
      <c r="C211" s="16"/>
      <c r="D211" s="100"/>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row>
    <row r="212" ht="15.75" customHeight="1">
      <c r="A212" s="21" t="s">
        <v>2911</v>
      </c>
      <c r="B212" s="104" t="s">
        <v>3272</v>
      </c>
      <c r="C212" s="16"/>
      <c r="D212" s="100"/>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row>
    <row r="213" ht="15.75" customHeight="1">
      <c r="A213" s="105" t="s">
        <v>3273</v>
      </c>
      <c r="B213" s="16"/>
      <c r="C213" s="105" t="s">
        <v>3274</v>
      </c>
      <c r="D213" s="106" t="s">
        <v>48</v>
      </c>
      <c r="E213" s="16"/>
      <c r="F213" s="105">
        <v>300.0</v>
      </c>
      <c r="G213" s="16"/>
      <c r="H213" s="16"/>
      <c r="I213" s="16"/>
      <c r="J213" s="16"/>
      <c r="K213" s="16"/>
      <c r="L213" s="105" t="s">
        <v>3275</v>
      </c>
      <c r="M213" s="105" t="s">
        <v>3276</v>
      </c>
      <c r="N213" s="16"/>
      <c r="O213" s="105">
        <v>7.0787878E7</v>
      </c>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row>
    <row r="214" ht="15.75" customHeight="1">
      <c r="A214" s="16"/>
      <c r="B214" s="16"/>
      <c r="C214" s="16"/>
      <c r="D214" s="100"/>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row>
    <row r="215" ht="15.75" customHeight="1">
      <c r="A215" s="16"/>
      <c r="B215" s="16"/>
      <c r="C215" s="16"/>
      <c r="D215" s="100"/>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row>
    <row r="216" ht="15.75" customHeight="1">
      <c r="A216" s="16"/>
      <c r="B216" s="16"/>
      <c r="C216" s="16"/>
      <c r="D216" s="100"/>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row>
    <row r="217" ht="15.75" customHeight="1">
      <c r="A217" s="16"/>
      <c r="B217" s="16"/>
      <c r="C217" s="16"/>
      <c r="D217" s="100"/>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row>
    <row r="218" ht="15.75" customHeight="1">
      <c r="A218" s="16"/>
      <c r="B218" s="16"/>
      <c r="C218" s="16"/>
      <c r="D218" s="100"/>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row>
    <row r="219" ht="15.75" customHeight="1">
      <c r="A219" s="16"/>
      <c r="B219" s="16"/>
      <c r="C219" s="16"/>
      <c r="D219" s="100"/>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row>
    <row r="220" ht="15.75" customHeight="1">
      <c r="A220" s="16"/>
      <c r="B220" s="16"/>
      <c r="C220" s="16"/>
      <c r="D220" s="100"/>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row>
    <row r="221" ht="15.75" customHeight="1">
      <c r="A221" s="16"/>
      <c r="B221" s="16"/>
      <c r="C221" s="16"/>
      <c r="D221" s="100"/>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row>
    <row r="222" ht="15.75" customHeight="1">
      <c r="A222" s="16"/>
      <c r="B222" s="16"/>
      <c r="C222" s="16"/>
      <c r="D222" s="100"/>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row>
    <row r="223" ht="15.75" customHeight="1">
      <c r="A223" s="16"/>
      <c r="B223" s="16"/>
      <c r="C223" s="16"/>
      <c r="D223" s="100"/>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row>
    <row r="224" ht="15.75" customHeight="1">
      <c r="A224" s="16"/>
      <c r="B224" s="16"/>
      <c r="C224" s="16"/>
      <c r="D224" s="100"/>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row>
    <row r="225" ht="15.75" customHeight="1">
      <c r="A225" s="16"/>
      <c r="B225" s="16"/>
      <c r="C225" s="16"/>
      <c r="D225" s="100"/>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row>
    <row r="226" ht="15.75" customHeight="1">
      <c r="A226" s="16"/>
      <c r="B226" s="16"/>
      <c r="C226" s="16"/>
      <c r="D226" s="100"/>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row>
    <row r="227" ht="15.75" customHeight="1">
      <c r="A227" s="16"/>
      <c r="B227" s="16"/>
      <c r="C227" s="16"/>
      <c r="D227" s="100"/>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row>
    <row r="228" ht="15.75" customHeight="1">
      <c r="A228" s="16"/>
      <c r="B228" s="16"/>
      <c r="C228" s="16"/>
      <c r="D228" s="100"/>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row>
    <row r="229" ht="15.75" customHeight="1">
      <c r="A229" s="16"/>
      <c r="B229" s="16"/>
      <c r="C229" s="16"/>
      <c r="D229" s="100"/>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row>
    <row r="230" ht="15.75" customHeight="1">
      <c r="A230" s="16"/>
      <c r="B230" s="16"/>
      <c r="C230" s="16"/>
      <c r="D230" s="100"/>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row>
    <row r="231" ht="15.75" customHeight="1">
      <c r="A231" s="16"/>
      <c r="B231" s="16"/>
      <c r="C231" s="16"/>
      <c r="D231" s="100"/>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row>
    <row r="232" ht="15.75" customHeight="1">
      <c r="A232" s="16"/>
      <c r="B232" s="16"/>
      <c r="C232" s="16"/>
      <c r="D232" s="100"/>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row>
    <row r="233" ht="15.75" customHeight="1">
      <c r="A233" s="16"/>
      <c r="B233" s="16"/>
      <c r="C233" s="16"/>
      <c r="D233" s="100"/>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row>
    <row r="234" ht="15.75" customHeight="1">
      <c r="A234" s="16"/>
      <c r="B234" s="16"/>
      <c r="C234" s="16"/>
      <c r="D234" s="100"/>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row>
    <row r="235" ht="15.75" customHeight="1">
      <c r="A235" s="16"/>
      <c r="B235" s="16"/>
      <c r="C235" s="16"/>
      <c r="D235" s="100"/>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row>
    <row r="236" ht="15.75" customHeight="1">
      <c r="A236" s="16"/>
      <c r="B236" s="16"/>
      <c r="C236" s="16"/>
      <c r="D236" s="100"/>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row>
    <row r="237" ht="15.75" customHeight="1">
      <c r="A237" s="16"/>
      <c r="B237" s="16"/>
      <c r="C237" s="16"/>
      <c r="D237" s="100"/>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row>
    <row r="238" ht="15.75" customHeight="1">
      <c r="A238" s="16"/>
      <c r="B238" s="16"/>
      <c r="C238" s="16"/>
      <c r="D238" s="100"/>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row>
    <row r="239" ht="15.75" customHeight="1">
      <c r="A239" s="16"/>
      <c r="B239" s="16"/>
      <c r="C239" s="16"/>
      <c r="D239" s="100"/>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row>
    <row r="240" ht="15.75" customHeight="1">
      <c r="A240" s="16"/>
      <c r="B240" s="16"/>
      <c r="C240" s="16"/>
      <c r="D240" s="100"/>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row>
    <row r="241" ht="15.75" customHeight="1">
      <c r="A241" s="16"/>
      <c r="B241" s="16"/>
      <c r="C241" s="16"/>
      <c r="D241" s="100"/>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row>
    <row r="242" ht="15.75" customHeight="1">
      <c r="A242" s="16"/>
      <c r="B242" s="16"/>
      <c r="C242" s="16"/>
      <c r="D242" s="100"/>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row>
    <row r="243" ht="15.75" customHeight="1">
      <c r="A243" s="16"/>
      <c r="B243" s="16"/>
      <c r="C243" s="16"/>
      <c r="D243" s="100"/>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row>
    <row r="244" ht="15.75" customHeight="1">
      <c r="A244" s="16"/>
      <c r="B244" s="16"/>
      <c r="C244" s="16"/>
      <c r="D244" s="100"/>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row>
    <row r="245" ht="15.75" customHeight="1">
      <c r="A245" s="16"/>
      <c r="B245" s="16"/>
      <c r="C245" s="16"/>
      <c r="D245" s="100"/>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row>
    <row r="246" ht="15.75" customHeight="1">
      <c r="A246" s="16"/>
      <c r="B246" s="16"/>
      <c r="C246" s="16"/>
      <c r="D246" s="100"/>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row>
    <row r="247" ht="15.75" customHeight="1">
      <c r="A247" s="16"/>
      <c r="B247" s="16"/>
      <c r="C247" s="16"/>
      <c r="D247" s="100"/>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row>
    <row r="248" ht="15.75" customHeight="1">
      <c r="A248" s="16"/>
      <c r="B248" s="16"/>
      <c r="C248" s="16"/>
      <c r="D248" s="100"/>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row>
    <row r="249" ht="15.75" customHeight="1">
      <c r="A249" s="16"/>
      <c r="B249" s="16"/>
      <c r="C249" s="16"/>
      <c r="D249" s="100"/>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row>
    <row r="250" ht="15.75" customHeight="1">
      <c r="A250" s="16"/>
      <c r="B250" s="16"/>
      <c r="C250" s="16"/>
      <c r="D250" s="100"/>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row>
    <row r="251" ht="15.75" customHeight="1">
      <c r="A251" s="16"/>
      <c r="B251" s="16"/>
      <c r="C251" s="16"/>
      <c r="D251" s="100"/>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row>
    <row r="252" ht="15.75" customHeight="1">
      <c r="A252" s="16"/>
      <c r="B252" s="16"/>
      <c r="C252" s="16"/>
      <c r="D252" s="100"/>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row>
    <row r="253" ht="15.75" customHeight="1">
      <c r="A253" s="16"/>
      <c r="B253" s="16"/>
      <c r="C253" s="16"/>
      <c r="D253" s="100"/>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row>
    <row r="254" ht="15.75" customHeight="1">
      <c r="A254" s="16"/>
      <c r="B254" s="16"/>
      <c r="C254" s="16"/>
      <c r="D254" s="100"/>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row>
    <row r="255" ht="34.5" customHeight="1">
      <c r="A255" s="16"/>
      <c r="B255" s="16"/>
      <c r="C255" s="16"/>
      <c r="D255" s="100"/>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row>
    <row r="256" ht="108.0" customHeight="1">
      <c r="A256" s="16"/>
      <c r="B256" s="16"/>
      <c r="C256" s="16"/>
      <c r="D256" s="100"/>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row>
    <row r="257" ht="15.75" customHeight="1">
      <c r="A257" s="16"/>
      <c r="B257" s="16"/>
      <c r="C257" s="16"/>
      <c r="D257" s="100"/>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row>
    <row r="258" ht="15.75" customHeight="1">
      <c r="A258" s="16"/>
      <c r="B258" s="16"/>
      <c r="C258" s="16"/>
      <c r="D258" s="100"/>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row>
    <row r="259" ht="15.75" customHeight="1">
      <c r="A259" s="16"/>
      <c r="B259" s="16"/>
      <c r="C259" s="16"/>
      <c r="D259" s="100"/>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row>
    <row r="260" ht="15.75" customHeight="1">
      <c r="A260" s="16"/>
      <c r="B260" s="16"/>
      <c r="C260" s="16"/>
      <c r="D260" s="100"/>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row>
    <row r="261" ht="15.75" customHeight="1">
      <c r="A261" s="16"/>
      <c r="B261" s="16"/>
      <c r="C261" s="16"/>
      <c r="D261" s="100"/>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row>
    <row r="262" ht="15.75" customHeight="1">
      <c r="A262" s="16"/>
      <c r="B262" s="16"/>
      <c r="C262" s="16"/>
      <c r="D262" s="100"/>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row>
    <row r="263" ht="15.75" customHeight="1">
      <c r="A263" s="16"/>
      <c r="B263" s="16"/>
      <c r="C263" s="16"/>
      <c r="D263" s="100"/>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row>
    <row r="264" ht="15.75" customHeight="1">
      <c r="A264" s="16"/>
      <c r="B264" s="16"/>
      <c r="C264" s="16"/>
      <c r="D264" s="100"/>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row>
    <row r="265" ht="15.75" customHeight="1">
      <c r="A265" s="16"/>
      <c r="B265" s="16"/>
      <c r="C265" s="16"/>
      <c r="D265" s="100"/>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row>
    <row r="266" ht="15.75" customHeight="1">
      <c r="A266" s="16"/>
      <c r="B266" s="16"/>
      <c r="C266" s="16"/>
      <c r="D266" s="100"/>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row>
    <row r="267" ht="15.75" customHeight="1">
      <c r="A267" s="16"/>
      <c r="B267" s="16"/>
      <c r="C267" s="16"/>
      <c r="D267" s="100"/>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row>
    <row r="268" ht="15.75" customHeight="1">
      <c r="A268" s="16"/>
      <c r="B268" s="16"/>
      <c r="C268" s="16"/>
      <c r="D268" s="100"/>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row>
    <row r="269" ht="15.75" customHeight="1">
      <c r="A269" s="16"/>
      <c r="B269" s="16"/>
      <c r="C269" s="16"/>
      <c r="D269" s="100"/>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row>
    <row r="270" ht="15.75" customHeight="1">
      <c r="A270" s="16"/>
      <c r="B270" s="16"/>
      <c r="C270" s="16"/>
      <c r="D270" s="100"/>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row>
    <row r="271" ht="15.75" customHeight="1">
      <c r="A271" s="16"/>
      <c r="B271" s="16"/>
      <c r="C271" s="16"/>
      <c r="D271" s="100"/>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row>
    <row r="272" ht="15.75" customHeight="1">
      <c r="A272" s="16"/>
      <c r="B272" s="16"/>
      <c r="C272" s="16"/>
      <c r="D272" s="100"/>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row>
    <row r="273" ht="15.75" customHeight="1">
      <c r="A273" s="16"/>
      <c r="B273" s="16"/>
      <c r="C273" s="16"/>
      <c r="D273" s="100"/>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row>
    <row r="274" ht="15.75" customHeight="1">
      <c r="A274" s="16"/>
      <c r="B274" s="16"/>
      <c r="C274" s="16"/>
      <c r="D274" s="100"/>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row>
    <row r="275" ht="15.75" customHeight="1">
      <c r="A275" s="16"/>
      <c r="B275" s="16"/>
      <c r="C275" s="16"/>
      <c r="D275" s="100"/>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row>
    <row r="276" ht="15.75" customHeight="1">
      <c r="A276" s="16"/>
      <c r="B276" s="16"/>
      <c r="C276" s="16"/>
      <c r="D276" s="100"/>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row>
    <row r="277" ht="15.75" customHeight="1">
      <c r="A277" s="16"/>
      <c r="B277" s="16"/>
      <c r="C277" s="16"/>
      <c r="D277" s="100"/>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row>
    <row r="278" ht="15.75" customHeight="1">
      <c r="A278" s="16"/>
      <c r="B278" s="16"/>
      <c r="C278" s="16"/>
      <c r="D278" s="100"/>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row>
    <row r="279" ht="15.75" customHeight="1">
      <c r="A279" s="16"/>
      <c r="B279" s="16"/>
      <c r="C279" s="16"/>
      <c r="D279" s="100"/>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row>
    <row r="280" ht="15.75" customHeight="1">
      <c r="A280" s="16"/>
      <c r="B280" s="16"/>
      <c r="C280" s="16"/>
      <c r="D280" s="100"/>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row>
    <row r="281" ht="15.75" customHeight="1">
      <c r="A281" s="16"/>
      <c r="B281" s="16"/>
      <c r="C281" s="16"/>
      <c r="D281" s="100"/>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row>
    <row r="282" ht="15.75" customHeight="1">
      <c r="A282" s="16"/>
      <c r="B282" s="16"/>
      <c r="C282" s="16"/>
      <c r="D282" s="100"/>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row>
    <row r="283" ht="15.75" customHeight="1">
      <c r="A283" s="16"/>
      <c r="B283" s="16"/>
      <c r="C283" s="16"/>
      <c r="D283" s="100"/>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row>
    <row r="284" ht="15.75" customHeight="1">
      <c r="A284" s="16"/>
      <c r="B284" s="16"/>
      <c r="C284" s="16"/>
      <c r="D284" s="100"/>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row>
    <row r="285" ht="15.75" customHeight="1">
      <c r="A285" s="16"/>
      <c r="B285" s="16"/>
      <c r="C285" s="16"/>
      <c r="D285" s="100"/>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row>
    <row r="286" ht="15.75" customHeight="1">
      <c r="A286" s="16"/>
      <c r="B286" s="16"/>
      <c r="C286" s="16"/>
      <c r="D286" s="100"/>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row>
    <row r="287" ht="15.75" customHeight="1">
      <c r="A287" s="16"/>
      <c r="B287" s="16"/>
      <c r="C287" s="16"/>
      <c r="D287" s="100"/>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row>
    <row r="288" ht="15.75" customHeight="1">
      <c r="A288" s="16"/>
      <c r="B288" s="16"/>
      <c r="C288" s="16"/>
      <c r="D288" s="100"/>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row>
    <row r="289" ht="15.75" customHeight="1">
      <c r="A289" s="16"/>
      <c r="B289" s="16"/>
      <c r="C289" s="16"/>
      <c r="D289" s="100"/>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row>
    <row r="290" ht="15.75" customHeight="1">
      <c r="A290" s="16"/>
      <c r="B290" s="16"/>
      <c r="C290" s="16"/>
      <c r="D290" s="100"/>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row>
    <row r="291" ht="15.75" customHeight="1">
      <c r="A291" s="16"/>
      <c r="B291" s="16"/>
      <c r="C291" s="16"/>
      <c r="D291" s="100"/>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row>
    <row r="292" ht="15.75" customHeight="1">
      <c r="A292" s="16"/>
      <c r="B292" s="16"/>
      <c r="C292" s="16"/>
      <c r="D292" s="100"/>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row>
    <row r="293" ht="15.75" customHeight="1">
      <c r="A293" s="16"/>
      <c r="B293" s="16"/>
      <c r="C293" s="16"/>
      <c r="D293" s="100"/>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row>
    <row r="294" ht="15.75" customHeight="1">
      <c r="A294" s="16"/>
      <c r="B294" s="16"/>
      <c r="C294" s="16"/>
      <c r="D294" s="100"/>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row>
    <row r="295" ht="15.75" customHeight="1">
      <c r="A295" s="16"/>
      <c r="B295" s="16"/>
      <c r="C295" s="16"/>
      <c r="D295" s="100"/>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row>
    <row r="296" ht="15.75" customHeight="1">
      <c r="A296" s="16"/>
      <c r="B296" s="16"/>
      <c r="C296" s="16"/>
      <c r="D296" s="100"/>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row>
    <row r="297" ht="15.75" customHeight="1">
      <c r="A297" s="16"/>
      <c r="B297" s="16"/>
      <c r="C297" s="16"/>
      <c r="D297" s="100"/>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row>
    <row r="298" ht="15.75" customHeight="1">
      <c r="A298" s="16"/>
      <c r="B298" s="16"/>
      <c r="C298" s="16"/>
      <c r="D298" s="100"/>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row>
    <row r="299" ht="15.75" customHeight="1">
      <c r="A299" s="16"/>
      <c r="B299" s="16"/>
      <c r="C299" s="16"/>
      <c r="D299" s="100"/>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row>
    <row r="300" ht="15.75" customHeight="1">
      <c r="A300" s="16"/>
      <c r="B300" s="16"/>
      <c r="C300" s="16"/>
      <c r="D300" s="100"/>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row>
    <row r="301" ht="15.75" customHeight="1">
      <c r="A301" s="16"/>
      <c r="B301" s="16"/>
      <c r="C301" s="16"/>
      <c r="D301" s="100"/>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row>
    <row r="302" ht="15.75" customHeight="1">
      <c r="A302" s="16"/>
      <c r="B302" s="16"/>
      <c r="C302" s="16"/>
      <c r="D302" s="100"/>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row>
    <row r="303" ht="15.75" customHeight="1">
      <c r="A303" s="16"/>
      <c r="B303" s="16"/>
      <c r="C303" s="16"/>
      <c r="D303" s="100"/>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row>
    <row r="304" ht="15.75" customHeight="1">
      <c r="A304" s="16"/>
      <c r="B304" s="16"/>
      <c r="C304" s="16"/>
      <c r="D304" s="100"/>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row>
    <row r="305" ht="15.75" customHeight="1">
      <c r="A305" s="16"/>
      <c r="B305" s="16"/>
      <c r="C305" s="16"/>
      <c r="D305" s="100"/>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row>
    <row r="306" ht="15.75" customHeight="1">
      <c r="A306" s="16"/>
      <c r="B306" s="16"/>
      <c r="C306" s="16"/>
      <c r="D306" s="100"/>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row>
    <row r="307" ht="15.75" customHeight="1">
      <c r="A307" s="16"/>
      <c r="B307" s="16"/>
      <c r="C307" s="16"/>
      <c r="D307" s="100"/>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row>
    <row r="308" ht="15.75" customHeight="1">
      <c r="A308" s="16"/>
      <c r="B308" s="16"/>
      <c r="C308" s="16"/>
      <c r="D308" s="100"/>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row>
    <row r="309" ht="15.75" customHeight="1">
      <c r="A309" s="16"/>
      <c r="B309" s="16"/>
      <c r="C309" s="16"/>
      <c r="D309" s="100"/>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row>
    <row r="310" ht="15.75" customHeight="1">
      <c r="A310" s="16"/>
      <c r="B310" s="16"/>
      <c r="C310" s="16"/>
      <c r="D310" s="100"/>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row>
    <row r="311" ht="15.75" customHeight="1">
      <c r="A311" s="16"/>
      <c r="B311" s="16"/>
      <c r="C311" s="16"/>
      <c r="D311" s="100"/>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row>
    <row r="312" ht="15.75" customHeight="1">
      <c r="A312" s="16"/>
      <c r="B312" s="16"/>
      <c r="C312" s="16"/>
      <c r="D312" s="100"/>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row>
    <row r="313" ht="15.75" customHeight="1">
      <c r="A313" s="16"/>
      <c r="B313" s="16"/>
      <c r="C313" s="16"/>
      <c r="D313" s="100"/>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row>
    <row r="314" ht="15.75" customHeight="1">
      <c r="A314" s="16"/>
      <c r="B314" s="16"/>
      <c r="C314" s="16"/>
      <c r="D314" s="100"/>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row>
    <row r="315" ht="15.75" customHeight="1">
      <c r="A315" s="16"/>
      <c r="B315" s="16"/>
      <c r="C315" s="16"/>
      <c r="D315" s="100"/>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row>
    <row r="316" ht="15.75" customHeight="1">
      <c r="A316" s="16"/>
      <c r="B316" s="16"/>
      <c r="C316" s="16"/>
      <c r="D316" s="100"/>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row>
    <row r="317" ht="15.75" customHeight="1">
      <c r="A317" s="16"/>
      <c r="B317" s="16"/>
      <c r="C317" s="16"/>
      <c r="D317" s="100"/>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row>
    <row r="318" ht="15.75" customHeight="1">
      <c r="A318" s="16"/>
      <c r="B318" s="16"/>
      <c r="C318" s="16"/>
      <c r="D318" s="100"/>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row>
    <row r="319" ht="15.75" customHeight="1">
      <c r="A319" s="16"/>
      <c r="B319" s="16"/>
      <c r="C319" s="16"/>
      <c r="D319" s="100"/>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row>
    <row r="320" ht="15.75" customHeight="1">
      <c r="A320" s="16"/>
      <c r="B320" s="16"/>
      <c r="C320" s="16"/>
      <c r="D320" s="100"/>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row>
    <row r="321" ht="15.75" customHeight="1">
      <c r="A321" s="16"/>
      <c r="B321" s="16"/>
      <c r="C321" s="16"/>
      <c r="D321" s="100"/>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row>
    <row r="322" ht="15.75" customHeight="1">
      <c r="A322" s="16"/>
      <c r="B322" s="16"/>
      <c r="C322" s="16"/>
      <c r="D322" s="100"/>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row>
    <row r="323" ht="15.75" customHeight="1">
      <c r="A323" s="16"/>
      <c r="B323" s="16"/>
      <c r="C323" s="16"/>
      <c r="D323" s="100"/>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row>
    <row r="324" ht="15.75" customHeight="1">
      <c r="A324" s="16"/>
      <c r="B324" s="16"/>
      <c r="C324" s="16"/>
      <c r="D324" s="100"/>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row>
    <row r="325" ht="15.75" customHeight="1">
      <c r="A325" s="16"/>
      <c r="B325" s="16"/>
      <c r="C325" s="16"/>
      <c r="D325" s="100"/>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row>
    <row r="326" ht="15.75" customHeight="1">
      <c r="A326" s="16"/>
      <c r="B326" s="16"/>
      <c r="C326" s="16"/>
      <c r="D326" s="100"/>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row>
    <row r="327" ht="15.75" customHeight="1">
      <c r="A327" s="16"/>
      <c r="B327" s="16"/>
      <c r="C327" s="16"/>
      <c r="D327" s="100"/>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row>
    <row r="328" ht="15.75" customHeight="1">
      <c r="A328" s="16"/>
      <c r="B328" s="16"/>
      <c r="C328" s="16"/>
      <c r="D328" s="100"/>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row>
    <row r="329" ht="15.75" customHeight="1">
      <c r="A329" s="16"/>
      <c r="B329" s="16"/>
      <c r="C329" s="16"/>
      <c r="D329" s="100"/>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row>
    <row r="330" ht="15.75" customHeight="1">
      <c r="A330" s="16"/>
      <c r="B330" s="16"/>
      <c r="C330" s="16"/>
      <c r="D330" s="100"/>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row>
    <row r="331" ht="15.75" customHeight="1">
      <c r="A331" s="16"/>
      <c r="B331" s="16"/>
      <c r="C331" s="16"/>
      <c r="D331" s="100"/>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row>
    <row r="332" ht="15.75" customHeight="1">
      <c r="A332" s="16"/>
      <c r="B332" s="16"/>
      <c r="C332" s="16"/>
      <c r="D332" s="100"/>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row>
    <row r="333" ht="15.75" customHeight="1">
      <c r="A333" s="16"/>
      <c r="B333" s="16"/>
      <c r="C333" s="16"/>
      <c r="D333" s="100"/>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row>
    <row r="334" ht="15.75" customHeight="1">
      <c r="A334" s="16"/>
      <c r="B334" s="16"/>
      <c r="C334" s="16"/>
      <c r="D334" s="100"/>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row>
    <row r="335" ht="15.75" customHeight="1">
      <c r="A335" s="16"/>
      <c r="B335" s="16"/>
      <c r="C335" s="16"/>
      <c r="D335" s="100"/>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row>
    <row r="336" ht="15.75" customHeight="1">
      <c r="A336" s="16"/>
      <c r="B336" s="16"/>
      <c r="C336" s="16"/>
      <c r="D336" s="100"/>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row>
    <row r="337" ht="15.75" customHeight="1">
      <c r="A337" s="16"/>
      <c r="B337" s="16"/>
      <c r="C337" s="16"/>
      <c r="D337" s="100"/>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row>
    <row r="338" ht="15.75" customHeight="1">
      <c r="A338" s="16"/>
      <c r="B338" s="16"/>
      <c r="C338" s="16"/>
      <c r="D338" s="100"/>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row>
    <row r="339" ht="15.75" customHeight="1">
      <c r="A339" s="16"/>
      <c r="B339" s="16"/>
      <c r="C339" s="16"/>
      <c r="D339" s="100"/>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row>
    <row r="340" ht="15.75" customHeight="1">
      <c r="A340" s="16"/>
      <c r="B340" s="16"/>
      <c r="C340" s="16"/>
      <c r="D340" s="100"/>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row>
    <row r="341" ht="15.75" customHeight="1">
      <c r="A341" s="16"/>
      <c r="B341" s="16"/>
      <c r="C341" s="16"/>
      <c r="D341" s="100"/>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row>
    <row r="342" ht="15.75" customHeight="1">
      <c r="A342" s="16"/>
      <c r="B342" s="16"/>
      <c r="C342" s="16"/>
      <c r="D342" s="100"/>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row>
    <row r="343" ht="15.75" customHeight="1">
      <c r="A343" s="16"/>
      <c r="B343" s="16"/>
      <c r="C343" s="16"/>
      <c r="D343" s="100"/>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row>
    <row r="344" ht="15.75" customHeight="1">
      <c r="A344" s="16"/>
      <c r="B344" s="16"/>
      <c r="C344" s="16"/>
      <c r="D344" s="100"/>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row>
    <row r="345" ht="15.75" customHeight="1">
      <c r="A345" s="16"/>
      <c r="B345" s="16"/>
      <c r="C345" s="16"/>
      <c r="D345" s="100"/>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row>
    <row r="346" ht="15.75" customHeight="1">
      <c r="A346" s="16"/>
      <c r="B346" s="16"/>
      <c r="C346" s="16"/>
      <c r="D346" s="100"/>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row>
    <row r="347" ht="15.75" customHeight="1">
      <c r="A347" s="16"/>
      <c r="B347" s="16"/>
      <c r="C347" s="16"/>
      <c r="D347" s="100"/>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row>
    <row r="348" ht="15.75" customHeight="1">
      <c r="A348" s="16"/>
      <c r="B348" s="16"/>
      <c r="C348" s="16"/>
      <c r="D348" s="100"/>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row>
    <row r="349" ht="15.75" customHeight="1">
      <c r="A349" s="16"/>
      <c r="B349" s="16"/>
      <c r="C349" s="16"/>
      <c r="D349" s="100"/>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row>
    <row r="350" ht="15.75" customHeight="1">
      <c r="A350" s="16"/>
      <c r="B350" s="16"/>
      <c r="C350" s="16"/>
      <c r="D350" s="100"/>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row>
    <row r="351" ht="15.75" customHeight="1">
      <c r="A351" s="16"/>
      <c r="B351" s="16"/>
      <c r="C351" s="16"/>
      <c r="D351" s="100"/>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row>
    <row r="352" ht="15.75" customHeight="1">
      <c r="A352" s="16"/>
      <c r="B352" s="16"/>
      <c r="C352" s="16"/>
      <c r="D352" s="100"/>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row>
    <row r="353" ht="15.75" customHeight="1">
      <c r="A353" s="16"/>
      <c r="B353" s="16"/>
      <c r="C353" s="16"/>
      <c r="D353" s="100"/>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row>
    <row r="354" ht="15.75" customHeight="1">
      <c r="A354" s="16"/>
      <c r="B354" s="16"/>
      <c r="C354" s="16"/>
      <c r="D354" s="100"/>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row>
    <row r="355" ht="15.75" customHeight="1">
      <c r="A355" s="16"/>
      <c r="B355" s="16"/>
      <c r="C355" s="16"/>
      <c r="D355" s="100"/>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row>
    <row r="356" ht="15.75" customHeight="1">
      <c r="A356" s="16"/>
      <c r="B356" s="16"/>
      <c r="C356" s="16"/>
      <c r="D356" s="100"/>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row>
    <row r="357" ht="15.75" customHeight="1">
      <c r="A357" s="16"/>
      <c r="B357" s="16"/>
      <c r="C357" s="16"/>
      <c r="D357" s="100"/>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row>
    <row r="358" ht="15.75" customHeight="1">
      <c r="A358" s="16"/>
      <c r="B358" s="16"/>
      <c r="C358" s="16"/>
      <c r="D358" s="100"/>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row>
    <row r="359" ht="15.75" customHeight="1">
      <c r="A359" s="16"/>
      <c r="B359" s="16"/>
      <c r="C359" s="16"/>
      <c r="D359" s="100"/>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row>
    <row r="360" ht="15.75" customHeight="1">
      <c r="A360" s="16"/>
      <c r="B360" s="16"/>
      <c r="C360" s="16"/>
      <c r="D360" s="100"/>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row>
    <row r="361" ht="15.75" customHeight="1">
      <c r="A361" s="16"/>
      <c r="B361" s="16"/>
      <c r="C361" s="16"/>
      <c r="D361" s="100"/>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row>
    <row r="362" ht="15.75" customHeight="1">
      <c r="A362" s="16"/>
      <c r="B362" s="16"/>
      <c r="C362" s="16"/>
      <c r="D362" s="100"/>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row>
    <row r="363" ht="15.75" customHeight="1">
      <c r="A363" s="16"/>
      <c r="B363" s="16"/>
      <c r="C363" s="16"/>
      <c r="D363" s="100"/>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row>
    <row r="364" ht="15.75" customHeight="1">
      <c r="A364" s="16"/>
      <c r="B364" s="16"/>
      <c r="C364" s="16"/>
      <c r="D364" s="100"/>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row>
    <row r="365" ht="15.75" customHeight="1">
      <c r="A365" s="16"/>
      <c r="B365" s="16"/>
      <c r="C365" s="16"/>
      <c r="D365" s="100"/>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row>
    <row r="366" ht="15.75" customHeight="1">
      <c r="A366" s="16"/>
      <c r="B366" s="16"/>
      <c r="C366" s="16"/>
      <c r="D366" s="100"/>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row>
    <row r="367" ht="15.75" customHeight="1">
      <c r="A367" s="16"/>
      <c r="B367" s="16"/>
      <c r="C367" s="16"/>
      <c r="D367" s="100"/>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row>
    <row r="368" ht="15.75" customHeight="1">
      <c r="A368" s="16"/>
      <c r="B368" s="16"/>
      <c r="C368" s="16"/>
      <c r="D368" s="100"/>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row>
    <row r="369" ht="15.75" customHeight="1">
      <c r="A369" s="16"/>
      <c r="B369" s="16"/>
      <c r="C369" s="16"/>
      <c r="D369" s="100"/>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row>
    <row r="370" ht="15.75" customHeight="1">
      <c r="A370" s="16"/>
      <c r="B370" s="16"/>
      <c r="C370" s="16"/>
      <c r="D370" s="100"/>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row>
    <row r="371" ht="15.75" customHeight="1">
      <c r="A371" s="16"/>
      <c r="B371" s="16"/>
      <c r="C371" s="16"/>
      <c r="D371" s="100"/>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row>
    <row r="372" ht="15.75" customHeight="1">
      <c r="A372" s="16"/>
      <c r="B372" s="16"/>
      <c r="C372" s="16"/>
      <c r="D372" s="100"/>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row>
    <row r="373" ht="15.75" customHeight="1">
      <c r="A373" s="16"/>
      <c r="B373" s="16"/>
      <c r="C373" s="16"/>
      <c r="D373" s="100"/>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row>
    <row r="374" ht="15.75" customHeight="1">
      <c r="A374" s="16"/>
      <c r="B374" s="16"/>
      <c r="C374" s="16"/>
      <c r="D374" s="100"/>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row>
    <row r="375" ht="15.75" customHeight="1">
      <c r="A375" s="16"/>
      <c r="B375" s="16"/>
      <c r="C375" s="16"/>
      <c r="D375" s="100"/>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row>
    <row r="376" ht="15.75" customHeight="1">
      <c r="A376" s="16"/>
      <c r="B376" s="16"/>
      <c r="C376" s="16"/>
      <c r="D376" s="100"/>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row>
    <row r="377" ht="15.75" customHeight="1">
      <c r="A377" s="16"/>
      <c r="B377" s="16"/>
      <c r="C377" s="16"/>
      <c r="D377" s="100"/>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row>
    <row r="378" ht="15.75" customHeight="1">
      <c r="A378" s="16"/>
      <c r="B378" s="16"/>
      <c r="C378" s="16"/>
      <c r="D378" s="100"/>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row>
    <row r="379" ht="15.75" customHeight="1">
      <c r="A379" s="16"/>
      <c r="B379" s="16"/>
      <c r="C379" s="16"/>
      <c r="D379" s="100"/>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row>
    <row r="380" ht="15.75" customHeight="1">
      <c r="A380" s="16"/>
      <c r="B380" s="16"/>
      <c r="C380" s="16"/>
      <c r="D380" s="100"/>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row>
    <row r="381" ht="15.75" customHeight="1">
      <c r="A381" s="16"/>
      <c r="B381" s="16"/>
      <c r="C381" s="16"/>
      <c r="D381" s="100"/>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row>
    <row r="382" ht="15.75" customHeight="1">
      <c r="A382" s="16"/>
      <c r="B382" s="16"/>
      <c r="C382" s="16"/>
      <c r="D382" s="100"/>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row>
    <row r="383" ht="15.75" customHeight="1">
      <c r="A383" s="16"/>
      <c r="B383" s="16"/>
      <c r="C383" s="16"/>
      <c r="D383" s="100"/>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row>
    <row r="384" ht="15.75" customHeight="1">
      <c r="A384" s="16"/>
      <c r="B384" s="16"/>
      <c r="C384" s="16"/>
      <c r="D384" s="100"/>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row>
    <row r="385" ht="15.75" customHeight="1">
      <c r="A385" s="16"/>
      <c r="B385" s="16"/>
      <c r="C385" s="16"/>
      <c r="D385" s="100"/>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row>
    <row r="386" ht="15.75" customHeight="1">
      <c r="A386" s="16"/>
      <c r="B386" s="16"/>
      <c r="C386" s="16"/>
      <c r="D386" s="100"/>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row>
    <row r="387" ht="15.75" customHeight="1">
      <c r="A387" s="16"/>
      <c r="B387" s="16"/>
      <c r="C387" s="16"/>
      <c r="D387" s="100"/>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row>
    <row r="388" ht="15.75" customHeight="1">
      <c r="A388" s="16"/>
      <c r="B388" s="16"/>
      <c r="C388" s="16"/>
      <c r="D388" s="100"/>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row>
    <row r="389" ht="15.75" customHeight="1">
      <c r="A389" s="16"/>
      <c r="B389" s="16"/>
      <c r="C389" s="16"/>
      <c r="D389" s="100"/>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row>
    <row r="390" ht="15.75" customHeight="1">
      <c r="A390" s="16"/>
      <c r="B390" s="16"/>
      <c r="C390" s="16"/>
      <c r="D390" s="100"/>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row>
    <row r="391" ht="15.75" customHeight="1">
      <c r="A391" s="16"/>
      <c r="B391" s="16"/>
      <c r="C391" s="16"/>
      <c r="D391" s="100"/>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row>
    <row r="392" ht="15.75" customHeight="1">
      <c r="A392" s="16"/>
      <c r="B392" s="16"/>
      <c r="C392" s="16"/>
      <c r="D392" s="100"/>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row>
    <row r="393" ht="15.75" customHeight="1">
      <c r="A393" s="16"/>
      <c r="B393" s="16"/>
      <c r="C393" s="16"/>
      <c r="D393" s="100"/>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row>
    <row r="394" ht="15.75" customHeight="1">
      <c r="A394" s="16"/>
      <c r="B394" s="16"/>
      <c r="C394" s="16"/>
      <c r="D394" s="100"/>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row>
    <row r="395" ht="15.75" customHeight="1">
      <c r="A395" s="16"/>
      <c r="B395" s="16"/>
      <c r="C395" s="16"/>
      <c r="D395" s="100"/>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row>
    <row r="396" ht="15.75" customHeight="1">
      <c r="A396" s="16"/>
      <c r="B396" s="16"/>
      <c r="C396" s="16"/>
      <c r="D396" s="100"/>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row>
    <row r="397" ht="15.75" customHeight="1">
      <c r="A397" s="16"/>
      <c r="B397" s="16"/>
      <c r="C397" s="16"/>
      <c r="D397" s="100"/>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row>
    <row r="398" ht="15.75" customHeight="1">
      <c r="A398" s="16"/>
      <c r="B398" s="16"/>
      <c r="C398" s="16"/>
      <c r="D398" s="100"/>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row>
    <row r="399" ht="15.75" customHeight="1">
      <c r="A399" s="16"/>
      <c r="B399" s="16"/>
      <c r="C399" s="16"/>
      <c r="D399" s="100"/>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row>
    <row r="400" ht="15.75" customHeight="1">
      <c r="A400" s="16"/>
      <c r="B400" s="16"/>
      <c r="C400" s="16"/>
      <c r="D400" s="100"/>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row>
    <row r="401" ht="15.75" customHeight="1">
      <c r="A401" s="16"/>
      <c r="B401" s="16"/>
      <c r="C401" s="16"/>
      <c r="D401" s="100"/>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row>
    <row r="402" ht="15.75" customHeight="1">
      <c r="A402" s="16"/>
      <c r="B402" s="16"/>
      <c r="C402" s="16"/>
      <c r="D402" s="100"/>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row>
    <row r="403" ht="15.75" customHeight="1">
      <c r="A403" s="16"/>
      <c r="B403" s="16"/>
      <c r="C403" s="16"/>
      <c r="D403" s="100"/>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row>
    <row r="404" ht="15.75" customHeight="1">
      <c r="A404" s="16"/>
      <c r="B404" s="16"/>
      <c r="C404" s="16"/>
      <c r="D404" s="100"/>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row>
    <row r="405" ht="15.75" customHeight="1">
      <c r="A405" s="16"/>
      <c r="B405" s="16"/>
      <c r="C405" s="16"/>
      <c r="D405" s="100"/>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row>
    <row r="406" ht="15.75" customHeight="1">
      <c r="A406" s="16"/>
      <c r="B406" s="16"/>
      <c r="C406" s="16"/>
      <c r="D406" s="100"/>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row>
    <row r="407" ht="15.75" customHeight="1">
      <c r="A407" s="16"/>
      <c r="B407" s="16"/>
      <c r="C407" s="16"/>
      <c r="D407" s="100"/>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row>
    <row r="408" ht="15.75" customHeight="1">
      <c r="A408" s="16"/>
      <c r="B408" s="16"/>
      <c r="C408" s="16"/>
      <c r="D408" s="100"/>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row>
    <row r="409" ht="15.75" customHeight="1">
      <c r="A409" s="16"/>
      <c r="B409" s="16"/>
      <c r="C409" s="16"/>
      <c r="D409" s="100"/>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row>
    <row r="410" ht="15.75" customHeight="1">
      <c r="A410" s="16"/>
      <c r="B410" s="16"/>
      <c r="C410" s="16"/>
      <c r="D410" s="100"/>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row>
    <row r="411" ht="15.75" customHeight="1">
      <c r="A411" s="16"/>
      <c r="B411" s="16"/>
      <c r="C411" s="16"/>
      <c r="D411" s="100"/>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row>
    <row r="412" ht="15.75" customHeight="1">
      <c r="A412" s="16"/>
      <c r="B412" s="16"/>
      <c r="C412" s="16"/>
      <c r="D412" s="100"/>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row>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L$192"/>
  <mergeCells count="3">
    <mergeCell ref="B1:K1"/>
    <mergeCell ref="A205:B205"/>
    <mergeCell ref="A206:B206"/>
  </mergeCells>
  <conditionalFormatting sqref="A207:A212">
    <cfRule type="beginsWith" dxfId="0" priority="1" operator="beginsWith" text="P">
      <formula>LEFT((A207),LEN("P"))=("P")</formula>
    </cfRule>
  </conditionalFormatting>
  <conditionalFormatting sqref="A207:A212">
    <cfRule type="containsText" dxfId="1" priority="2" operator="containsText" text="N-P">
      <formula>NOT(ISERROR(SEARCH(("N-P"),(A207))))</formula>
    </cfRule>
  </conditionalFormatting>
  <conditionalFormatting sqref="A207:A212">
    <cfRule type="containsText" dxfId="2" priority="3" operator="containsText" text="R">
      <formula>NOT(ISERROR(SEARCH(("R"),(A207))))</formula>
    </cfRule>
  </conditionalFormatting>
  <conditionalFormatting sqref="A207:A212">
    <cfRule type="containsText" dxfId="3" priority="4" operator="containsText" text="A-S">
      <formula>NOT(ISERROR(SEARCH(("A-S"),(A207))))</formula>
    </cfRule>
  </conditionalFormatting>
  <conditionalFormatting sqref="A207:A212">
    <cfRule type="beginsWith" dxfId="4" priority="5" operator="beginsWith" text="S">
      <formula>LEFT((A207),LEN("S"))=("S")</formula>
    </cfRule>
  </conditionalFormatting>
  <conditionalFormatting sqref="D3:D195">
    <cfRule type="beginsWith" dxfId="0" priority="6" operator="beginsWith" text="P">
      <formula>LEFT((D3),LEN("P"))=("P")</formula>
    </cfRule>
  </conditionalFormatting>
  <conditionalFormatting sqref="D3:D195">
    <cfRule type="containsText" dxfId="1" priority="7" operator="containsText" text="N-P">
      <formula>NOT(ISERROR(SEARCH(("N-P"),(D3))))</formula>
    </cfRule>
  </conditionalFormatting>
  <conditionalFormatting sqref="D3:D195">
    <cfRule type="containsText" dxfId="2" priority="8" operator="containsText" text="R">
      <formula>NOT(ISERROR(SEARCH(("R"),(D3))))</formula>
    </cfRule>
  </conditionalFormatting>
  <conditionalFormatting sqref="D3:D195">
    <cfRule type="containsText" dxfId="3" priority="9" operator="containsText" text="A-S">
      <formula>NOT(ISERROR(SEARCH(("A-S"),(D3))))</formula>
    </cfRule>
  </conditionalFormatting>
  <conditionalFormatting sqref="D3:D195">
    <cfRule type="beginsWith" dxfId="4" priority="10" operator="beginsWith" text="S">
      <formula>LEFT((D3),LEN("S"))=("S")</formula>
    </cfRule>
  </conditionalFormatting>
  <conditionalFormatting sqref="I3:I16 I19:I31 I33:I35 I38:I41 I43:I46 I48:I53 I57:I58 I60:I62 I64 I66:I67 I69 I71:I78 I81 I83 I85 I87 I91 I95 I97 I99:I101 I103:I108 I110:I111 I113:I115 I119 I121:I123 I125:I141 I144:I146 I148 I152 I154:I155 I157 I159 I161:I179 I182:I186 I188:I192">
    <cfRule type="cellIs" dxfId="5" priority="11" operator="lessThan">
      <formula>45698</formula>
    </cfRule>
  </conditionalFormatting>
  <conditionalFormatting sqref="K107:K111">
    <cfRule type="cellIs" dxfId="1" priority="12" operator="equal">
      <formula>"≤(G3+AN1)"</formula>
    </cfRule>
  </conditionalFormatting>
  <dataValidations>
    <dataValidation type="list" allowBlank="1" showErrorMessage="1" sqref="D3:D76 D78:D176 D178:D197">
      <formula1>$A$207:$A$212</formula1>
    </dataValidation>
  </dataValidations>
  <hyperlinks>
    <hyperlink r:id="rId4" ref="AB3"/>
    <hyperlink r:id="rId5" ref="AI3"/>
    <hyperlink r:id="rId6" ref="N4"/>
    <hyperlink r:id="rId7" ref="M5"/>
    <hyperlink r:id="rId8" ref="U6"/>
    <hyperlink r:id="rId9" ref="AB6"/>
    <hyperlink r:id="rId10" ref="AI6"/>
    <hyperlink r:id="rId11" ref="U7"/>
    <hyperlink r:id="rId12" ref="AI8"/>
    <hyperlink r:id="rId13" ref="AB10"/>
    <hyperlink r:id="rId14" ref="U11"/>
    <hyperlink r:id="rId15" ref="N15"/>
    <hyperlink r:id="rId16" ref="AD21"/>
    <hyperlink r:id="rId17" ref="U28"/>
    <hyperlink r:id="rId18" ref="AB28"/>
    <hyperlink r:id="rId19" ref="AI28"/>
    <hyperlink r:id="rId20" ref="AI29"/>
    <hyperlink r:id="rId21" ref="U30"/>
    <hyperlink r:id="rId22" ref="N31"/>
    <hyperlink r:id="rId23" ref="AI40"/>
    <hyperlink r:id="rId24" ref="AI41"/>
    <hyperlink r:id="rId25" ref="N45"/>
    <hyperlink r:id="rId26" ref="N46"/>
    <hyperlink r:id="rId27" ref="M53"/>
    <hyperlink r:id="rId28" ref="M55"/>
    <hyperlink r:id="rId29" ref="AI57"/>
    <hyperlink r:id="rId30" ref="U58"/>
    <hyperlink r:id="rId31" ref="M61"/>
    <hyperlink r:id="rId32" ref="M62"/>
    <hyperlink r:id="rId33" ref="N62"/>
    <hyperlink r:id="rId34" ref="AI62"/>
    <hyperlink r:id="rId35" ref="M64"/>
    <hyperlink r:id="rId36" ref="N64"/>
    <hyperlink r:id="rId37" ref="M71"/>
    <hyperlink r:id="rId38" ref="U72"/>
    <hyperlink r:id="rId39" ref="U77"/>
    <hyperlink r:id="rId40" ref="AI77"/>
    <hyperlink r:id="rId41" ref="N81"/>
    <hyperlink r:id="rId42" ref="AI83"/>
    <hyperlink r:id="rId43" ref="U87"/>
    <hyperlink r:id="rId44" ref="AB87"/>
    <hyperlink r:id="rId45" ref="AI87"/>
    <hyperlink r:id="rId46" ref="AI89"/>
    <hyperlink r:id="rId47" ref="AI95"/>
    <hyperlink r:id="rId48" ref="AB99"/>
    <hyperlink r:id="rId49" ref="AI99"/>
    <hyperlink r:id="rId50" ref="AI101"/>
    <hyperlink r:id="rId51" ref="N103"/>
    <hyperlink r:id="rId52" ref="U103"/>
    <hyperlink r:id="rId53" ref="M105"/>
    <hyperlink r:id="rId54" ref="N105"/>
    <hyperlink r:id="rId55" ref="N106"/>
    <hyperlink r:id="rId56" ref="AB108"/>
    <hyperlink r:id="rId57" ref="AI113"/>
    <hyperlink r:id="rId58" ref="AI115"/>
    <hyperlink r:id="rId59" ref="U118"/>
    <hyperlink r:id="rId60" ref="AI118"/>
    <hyperlink r:id="rId61" ref="AI119"/>
    <hyperlink r:id="rId62" ref="N121"/>
    <hyperlink r:id="rId63" ref="U122"/>
    <hyperlink r:id="rId64" ref="AI122"/>
    <hyperlink r:id="rId65" ref="AI125"/>
    <hyperlink r:id="rId66" ref="U126"/>
    <hyperlink r:id="rId67" ref="M129"/>
    <hyperlink r:id="rId68" ref="AB129"/>
    <hyperlink r:id="rId69" ref="U131"/>
    <hyperlink r:id="rId70" ref="N132"/>
    <hyperlink r:id="rId71" ref="U132"/>
    <hyperlink r:id="rId72" ref="AI132"/>
    <hyperlink r:id="rId73" ref="M133"/>
    <hyperlink r:id="rId74" ref="U133"/>
    <hyperlink r:id="rId75" ref="U134"/>
    <hyperlink r:id="rId76" ref="U135"/>
    <hyperlink r:id="rId77" ref="AI135"/>
    <hyperlink r:id="rId78" ref="U136"/>
    <hyperlink r:id="rId79" ref="M137"/>
    <hyperlink r:id="rId80" ref="U137"/>
    <hyperlink r:id="rId81" ref="U138"/>
    <hyperlink r:id="rId82" ref="M140"/>
    <hyperlink r:id="rId83" ref="U140"/>
    <hyperlink r:id="rId84" ref="AI140"/>
    <hyperlink r:id="rId85" ref="M145"/>
    <hyperlink r:id="rId86" ref="N146"/>
    <hyperlink r:id="rId87" ref="AI147"/>
    <hyperlink r:id="rId88" ref="U149"/>
    <hyperlink r:id="rId89" ref="AI149"/>
    <hyperlink r:id="rId90" ref="U150"/>
    <hyperlink r:id="rId91" ref="AI150"/>
    <hyperlink r:id="rId92" ref="U152"/>
    <hyperlink r:id="rId93" ref="AI152"/>
    <hyperlink r:id="rId94" ref="N155"/>
    <hyperlink r:id="rId95" ref="AI155"/>
    <hyperlink r:id="rId96" ref="AI157"/>
    <hyperlink r:id="rId97" ref="AI161"/>
    <hyperlink r:id="rId98" ref="M163"/>
    <hyperlink r:id="rId99" ref="U163"/>
    <hyperlink r:id="rId100" ref="AI163"/>
    <hyperlink r:id="rId101" ref="U164"/>
    <hyperlink r:id="rId102" ref="AI164"/>
    <hyperlink r:id="rId103" ref="U165"/>
    <hyperlink r:id="rId104" ref="AI165"/>
    <hyperlink r:id="rId105" ref="U166"/>
    <hyperlink r:id="rId106" ref="AI166"/>
    <hyperlink r:id="rId107" ref="M167"/>
    <hyperlink r:id="rId108" ref="N167"/>
    <hyperlink r:id="rId109" ref="U167"/>
    <hyperlink r:id="rId110" ref="AI167"/>
    <hyperlink r:id="rId111" ref="U168"/>
    <hyperlink r:id="rId112" ref="U169"/>
    <hyperlink r:id="rId113" ref="U170"/>
    <hyperlink r:id="rId114" ref="N171"/>
    <hyperlink r:id="rId115" ref="AI171"/>
    <hyperlink r:id="rId116" ref="N172"/>
    <hyperlink r:id="rId117" ref="U172"/>
    <hyperlink r:id="rId118" ref="AI172"/>
    <hyperlink r:id="rId119" ref="AB173"/>
    <hyperlink r:id="rId120" ref="AI173"/>
    <hyperlink r:id="rId121" ref="U174"/>
    <hyperlink r:id="rId122" ref="AB174"/>
    <hyperlink r:id="rId123" ref="AI174"/>
    <hyperlink r:id="rId124" ref="AB175"/>
    <hyperlink r:id="rId125" ref="AI175"/>
    <hyperlink r:id="rId126" ref="U176"/>
    <hyperlink r:id="rId127" ref="AB176"/>
    <hyperlink r:id="rId128" ref="U178"/>
    <hyperlink r:id="rId129" ref="AB178"/>
    <hyperlink r:id="rId130" ref="AI178"/>
    <hyperlink r:id="rId131" ref="M179"/>
    <hyperlink r:id="rId132" ref="N179"/>
    <hyperlink r:id="rId133" ref="U179"/>
    <hyperlink r:id="rId134" ref="U180"/>
    <hyperlink r:id="rId135" ref="AB180"/>
    <hyperlink r:id="rId136" ref="AI180"/>
    <hyperlink r:id="rId137" ref="AB182"/>
    <hyperlink r:id="rId138" ref="AI182"/>
    <hyperlink r:id="rId139" ref="N184"/>
    <hyperlink r:id="rId140" ref="U185"/>
    <hyperlink r:id="rId141" ref="U186"/>
    <hyperlink r:id="rId142" ref="U187"/>
    <hyperlink r:id="rId143" ref="AB187"/>
    <hyperlink r:id="rId144" ref="AI187"/>
    <hyperlink r:id="rId145" ref="N190"/>
    <hyperlink r:id="rId146" ref="AI190"/>
    <hyperlink r:id="rId147" ref="M191"/>
    <hyperlink r:id="rId148" ref="N191"/>
    <hyperlink r:id="rId149" ref="AI191"/>
  </hyperlinks>
  <printOptions/>
  <pageMargins bottom="0.75" footer="0.0" header="0.0" left="0.7" right="0.7" top="0.75"/>
  <pageSetup orientation="portrait"/>
  <drawing r:id="rId150"/>
  <legacyDrawing r:id="rId15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43.57"/>
    <col customWidth="1" min="2" max="2" width="40.71"/>
    <col customWidth="1" min="3" max="3" width="13.0"/>
    <col customWidth="1" min="4" max="4" width="11.29"/>
    <col customWidth="1" min="5" max="5" width="10.86"/>
    <col customWidth="1" min="6" max="6" width="18.57"/>
    <col customWidth="1" min="7" max="7" width="20.43"/>
    <col customWidth="1" min="8" max="8" width="19.86"/>
    <col customWidth="1" min="9" max="9" width="20.0"/>
    <col customWidth="1" min="10" max="10" width="19.57"/>
    <col customWidth="1" min="11" max="11" width="20.43"/>
    <col customWidth="1" min="12" max="12" width="30.57"/>
    <col customWidth="1" min="13" max="13" width="40.71"/>
    <col customWidth="1" min="14" max="14" width="35.86"/>
    <col customWidth="1" min="15" max="15" width="26.0"/>
    <col customWidth="1" min="16" max="16" width="18.43"/>
    <col customWidth="1" min="17" max="17" width="13.29"/>
    <col customWidth="1" min="18" max="18" width="46.29"/>
    <col customWidth="1" min="19" max="19" width="14.14"/>
    <col customWidth="1" min="20" max="20" width="26.71"/>
    <col customWidth="1" min="21" max="21" width="28.0"/>
    <col customWidth="1" min="22" max="22" width="32.0"/>
    <col customWidth="1" min="23" max="23" width="18.43"/>
    <col customWidth="1" min="24" max="24" width="15.29"/>
    <col customWidth="1" min="25" max="25" width="17.86"/>
    <col customWidth="1" min="26" max="26" width="20.29"/>
    <col customWidth="1" min="27" max="27" width="46.0"/>
    <col customWidth="1" min="28" max="28" width="23.57"/>
    <col customWidth="1" min="29" max="29" width="22.43"/>
    <col customWidth="1" min="30" max="30" width="29.14"/>
    <col customWidth="1" min="31" max="31" width="25.71"/>
    <col customWidth="1" min="32" max="32" width="19.57"/>
    <col customWidth="1" min="33" max="33" width="28.29"/>
    <col customWidth="1" min="34" max="34" width="16.14"/>
    <col customWidth="1" min="35" max="35" width="35.71"/>
    <col customWidth="1" min="36" max="36" width="30.43"/>
    <col customWidth="1" min="37" max="37" width="30.29"/>
    <col customWidth="1" min="38" max="38" width="40.43"/>
    <col customWidth="1" min="39" max="48" width="6.43"/>
    <col customWidth="1" min="49" max="58" width="15.14"/>
  </cols>
  <sheetData>
    <row r="1" ht="50.25" customHeight="1">
      <c r="A1" s="107"/>
      <c r="B1" s="108" t="s">
        <v>3277</v>
      </c>
      <c r="C1" s="10"/>
      <c r="D1" s="10"/>
      <c r="E1" s="10"/>
      <c r="F1" s="10"/>
      <c r="G1" s="10"/>
      <c r="H1" s="10"/>
      <c r="I1" s="10"/>
      <c r="J1" s="10"/>
      <c r="K1" s="10"/>
      <c r="L1" s="10"/>
      <c r="M1" s="10"/>
      <c r="N1" s="15"/>
      <c r="O1" s="15"/>
      <c r="P1" s="15"/>
      <c r="Q1" s="109"/>
      <c r="R1" s="109"/>
      <c r="S1" s="109"/>
      <c r="T1" s="109"/>
      <c r="U1" s="109"/>
      <c r="V1" s="109"/>
      <c r="W1" s="109"/>
      <c r="X1" s="109"/>
      <c r="Y1" s="109"/>
      <c r="Z1" s="109"/>
      <c r="AA1" s="109"/>
      <c r="AB1" s="109"/>
      <c r="AC1" s="109"/>
      <c r="AD1" s="109"/>
      <c r="AE1" s="109"/>
      <c r="AF1" s="109"/>
      <c r="AG1" s="109"/>
      <c r="AH1" s="109"/>
      <c r="AI1" s="109"/>
      <c r="AJ1" s="109"/>
      <c r="AK1" s="109"/>
    </row>
    <row r="2" ht="51.75" customHeight="1">
      <c r="A2" s="18" t="s">
        <v>8</v>
      </c>
      <c r="B2" s="18" t="s">
        <v>9</v>
      </c>
      <c r="C2" s="18" t="s">
        <v>10</v>
      </c>
      <c r="D2" s="18" t="s">
        <v>11</v>
      </c>
      <c r="E2" s="18" t="s">
        <v>12</v>
      </c>
      <c r="F2" s="18" t="s">
        <v>13</v>
      </c>
      <c r="G2" s="18" t="s">
        <v>14</v>
      </c>
      <c r="H2" s="18" t="s">
        <v>15</v>
      </c>
      <c r="I2" s="18" t="s">
        <v>16</v>
      </c>
      <c r="J2" s="18" t="s">
        <v>17</v>
      </c>
      <c r="K2" s="18" t="s">
        <v>18</v>
      </c>
      <c r="L2" s="18" t="s">
        <v>3278</v>
      </c>
      <c r="M2" s="18" t="s">
        <v>20</v>
      </c>
      <c r="N2" s="18" t="s">
        <v>21</v>
      </c>
      <c r="O2" s="18" t="s">
        <v>22</v>
      </c>
      <c r="P2" s="18" t="s">
        <v>23</v>
      </c>
      <c r="Q2" s="18" t="s">
        <v>24</v>
      </c>
      <c r="R2" s="18" t="s">
        <v>25</v>
      </c>
      <c r="S2" s="18" t="s">
        <v>26</v>
      </c>
      <c r="T2" s="18" t="s">
        <v>27</v>
      </c>
      <c r="U2" s="18" t="s">
        <v>28</v>
      </c>
      <c r="V2" s="18" t="s">
        <v>3279</v>
      </c>
      <c r="W2" s="18" t="s">
        <v>30</v>
      </c>
      <c r="X2" s="18" t="s">
        <v>31</v>
      </c>
      <c r="Y2" s="18" t="s">
        <v>32</v>
      </c>
      <c r="Z2" s="18" t="s">
        <v>33</v>
      </c>
      <c r="AA2" s="18" t="s">
        <v>34</v>
      </c>
      <c r="AB2" s="18" t="s">
        <v>35</v>
      </c>
      <c r="AC2" s="18" t="s">
        <v>36</v>
      </c>
      <c r="AD2" s="18" t="s">
        <v>37</v>
      </c>
      <c r="AE2" s="18" t="s">
        <v>38</v>
      </c>
      <c r="AF2" s="18" t="s">
        <v>39</v>
      </c>
      <c r="AG2" s="18" t="s">
        <v>40</v>
      </c>
      <c r="AH2" s="18" t="s">
        <v>41</v>
      </c>
      <c r="AI2" s="18" t="s">
        <v>42</v>
      </c>
      <c r="AJ2" s="18" t="s">
        <v>3280</v>
      </c>
      <c r="AK2" s="18" t="s">
        <v>44</v>
      </c>
      <c r="AL2" s="18" t="s">
        <v>45</v>
      </c>
      <c r="AM2" s="110"/>
      <c r="AN2" s="110"/>
      <c r="AO2" s="110"/>
      <c r="AP2" s="110"/>
      <c r="AQ2" s="110"/>
      <c r="AR2" s="110"/>
      <c r="AS2" s="110"/>
      <c r="AT2" s="110"/>
      <c r="AU2" s="110"/>
      <c r="AV2" s="110"/>
      <c r="AW2" s="110"/>
      <c r="AX2" s="110"/>
      <c r="AY2" s="110"/>
      <c r="AZ2" s="110"/>
      <c r="BA2" s="110"/>
      <c r="BB2" s="110"/>
      <c r="BC2" s="110"/>
      <c r="BD2" s="110"/>
      <c r="BE2" s="110"/>
      <c r="BF2" s="110"/>
    </row>
    <row r="3" ht="60.0" customHeight="1">
      <c r="A3" s="57" t="s">
        <v>3281</v>
      </c>
      <c r="B3" s="57"/>
      <c r="C3" s="57" t="s">
        <v>3282</v>
      </c>
      <c r="D3" s="111" t="s">
        <v>213</v>
      </c>
      <c r="E3" s="57" t="s">
        <v>49</v>
      </c>
      <c r="F3" s="57"/>
      <c r="G3" s="57" t="s">
        <v>3283</v>
      </c>
      <c r="H3" s="22"/>
      <c r="I3" s="22">
        <f>'17020 SAI'!$H3+'17025 SAL'!$AN$1</f>
        <v>1460</v>
      </c>
      <c r="J3" s="22">
        <v>38054.0</v>
      </c>
      <c r="K3" s="57" t="s">
        <v>730</v>
      </c>
      <c r="L3" s="57"/>
      <c r="M3" s="57" t="s">
        <v>3284</v>
      </c>
      <c r="N3" s="57"/>
      <c r="O3" s="57" t="s">
        <v>3285</v>
      </c>
      <c r="P3" s="57" t="s">
        <v>3286</v>
      </c>
      <c r="Q3" s="57" t="s">
        <v>55</v>
      </c>
      <c r="R3" s="57" t="s">
        <v>3287</v>
      </c>
      <c r="S3" s="57"/>
      <c r="T3" s="57"/>
      <c r="U3" s="57"/>
      <c r="V3" s="57"/>
      <c r="W3" s="57"/>
      <c r="X3" s="57"/>
      <c r="Y3" s="57"/>
      <c r="Z3" s="57"/>
      <c r="AA3" s="57"/>
      <c r="AB3" s="57"/>
      <c r="AC3" s="57"/>
      <c r="AD3" s="57"/>
      <c r="AE3" s="57"/>
      <c r="AF3" s="57"/>
      <c r="AG3" s="57"/>
      <c r="AH3" s="57"/>
      <c r="AI3" s="57"/>
      <c r="AJ3" s="57"/>
      <c r="AK3" s="57" t="s">
        <v>3281</v>
      </c>
      <c r="AL3" s="20"/>
    </row>
    <row r="4" ht="60.0" customHeight="1">
      <c r="A4" s="57" t="s">
        <v>3281</v>
      </c>
      <c r="B4" s="57"/>
      <c r="C4" s="57" t="s">
        <v>3282</v>
      </c>
      <c r="D4" s="111" t="s">
        <v>2027</v>
      </c>
      <c r="E4" s="57" t="s">
        <v>49</v>
      </c>
      <c r="F4" s="57" t="s">
        <v>3288</v>
      </c>
      <c r="G4" s="57"/>
      <c r="H4" s="22"/>
      <c r="I4" s="22">
        <f>'17020 SAI'!$H4+'17025 SAL'!$AN$1</f>
        <v>1460</v>
      </c>
      <c r="J4" s="22"/>
      <c r="K4" s="57" t="s">
        <v>730</v>
      </c>
      <c r="L4" s="57" t="s">
        <v>3289</v>
      </c>
      <c r="M4" s="57" t="s">
        <v>3290</v>
      </c>
      <c r="N4" s="57"/>
      <c r="O4" s="57" t="s">
        <v>3285</v>
      </c>
      <c r="P4" s="57" t="s">
        <v>3291</v>
      </c>
      <c r="Q4" s="57" t="s">
        <v>55</v>
      </c>
      <c r="R4" s="57" t="s">
        <v>3287</v>
      </c>
      <c r="S4" s="57"/>
      <c r="T4" s="57"/>
      <c r="U4" s="57"/>
      <c r="V4" s="57"/>
      <c r="W4" s="57"/>
      <c r="X4" s="57"/>
      <c r="Y4" s="57"/>
      <c r="Z4" s="57"/>
      <c r="AA4" s="57"/>
      <c r="AB4" s="57"/>
      <c r="AC4" s="57"/>
      <c r="AD4" s="57"/>
      <c r="AE4" s="57"/>
      <c r="AF4" s="57"/>
      <c r="AG4" s="57"/>
      <c r="AH4" s="57"/>
      <c r="AI4" s="57"/>
      <c r="AJ4" s="57"/>
      <c r="AK4" s="57" t="s">
        <v>3281</v>
      </c>
      <c r="AL4" s="20"/>
      <c r="AM4" s="58"/>
      <c r="AN4" s="58"/>
      <c r="AO4" s="58"/>
      <c r="AP4" s="58"/>
      <c r="AQ4" s="58"/>
      <c r="AR4" s="58"/>
      <c r="AS4" s="58"/>
      <c r="AT4" s="58"/>
      <c r="AU4" s="58"/>
      <c r="AV4" s="58"/>
      <c r="AW4" s="58"/>
      <c r="AX4" s="58"/>
      <c r="AY4" s="58"/>
      <c r="AZ4" s="58"/>
      <c r="BA4" s="58"/>
      <c r="BB4" s="58"/>
      <c r="BC4" s="58"/>
      <c r="BD4" s="58"/>
      <c r="BE4" s="58"/>
      <c r="BF4" s="58"/>
    </row>
    <row r="5" ht="60.0" customHeight="1">
      <c r="A5" s="57" t="s">
        <v>3292</v>
      </c>
      <c r="B5" s="57"/>
      <c r="C5" s="57" t="s">
        <v>3282</v>
      </c>
      <c r="D5" s="111" t="s">
        <v>213</v>
      </c>
      <c r="E5" s="57" t="s">
        <v>49</v>
      </c>
      <c r="F5" s="57" t="s">
        <v>3293</v>
      </c>
      <c r="G5" s="57" t="s">
        <v>3288</v>
      </c>
      <c r="H5" s="22"/>
      <c r="I5" s="22">
        <f>'17020 SAI'!$H5+'17025 SAL'!$AN$1</f>
        <v>1460</v>
      </c>
      <c r="J5" s="22">
        <v>38551.0</v>
      </c>
      <c r="K5" s="57" t="s">
        <v>730</v>
      </c>
      <c r="L5" s="57" t="s">
        <v>3294</v>
      </c>
      <c r="M5" s="112" t="s">
        <v>3295</v>
      </c>
      <c r="N5" s="57"/>
      <c r="O5" s="57" t="s">
        <v>3296</v>
      </c>
      <c r="P5" s="57" t="s">
        <v>3297</v>
      </c>
      <c r="Q5" s="57" t="s">
        <v>55</v>
      </c>
      <c r="R5" s="57" t="s">
        <v>3298</v>
      </c>
      <c r="S5" s="57"/>
      <c r="T5" s="57" t="s">
        <v>3299</v>
      </c>
      <c r="U5" s="57" t="s">
        <v>3300</v>
      </c>
      <c r="V5" s="57" t="s">
        <v>3294</v>
      </c>
      <c r="W5" s="57" t="s">
        <v>3301</v>
      </c>
      <c r="X5" s="57" t="s">
        <v>62</v>
      </c>
      <c r="Y5" s="57" t="s">
        <v>2581</v>
      </c>
      <c r="Z5" s="57" t="s">
        <v>3302</v>
      </c>
      <c r="AA5" s="57" t="s">
        <v>3303</v>
      </c>
      <c r="AB5" s="57"/>
      <c r="AC5" s="57" t="s">
        <v>67</v>
      </c>
      <c r="AD5" s="57" t="s">
        <v>3304</v>
      </c>
      <c r="AE5" s="57" t="s">
        <v>3305</v>
      </c>
      <c r="AF5" s="57" t="s">
        <v>3306</v>
      </c>
      <c r="AG5" s="57" t="s">
        <v>3303</v>
      </c>
      <c r="AH5" s="57" t="s">
        <v>3306</v>
      </c>
      <c r="AI5" s="57" t="s">
        <v>3307</v>
      </c>
      <c r="AJ5" s="57" t="s">
        <v>3308</v>
      </c>
      <c r="AK5" s="57" t="s">
        <v>3292</v>
      </c>
      <c r="AL5" s="20" t="s">
        <v>3309</v>
      </c>
    </row>
    <row r="6" ht="60.0" customHeight="1">
      <c r="A6" s="57" t="s">
        <v>3310</v>
      </c>
      <c r="B6" s="57" t="s">
        <v>3310</v>
      </c>
      <c r="C6" s="57" t="s">
        <v>3282</v>
      </c>
      <c r="D6" s="111" t="s">
        <v>48</v>
      </c>
      <c r="E6" s="57" t="s">
        <v>49</v>
      </c>
      <c r="F6" s="57" t="s">
        <v>3311</v>
      </c>
      <c r="G6" s="57" t="s">
        <v>3293</v>
      </c>
      <c r="H6" s="22">
        <v>43991.0</v>
      </c>
      <c r="I6" s="22">
        <f>'17020 SAI'!$H6+'17025 SAL'!$AN$1</f>
        <v>45451</v>
      </c>
      <c r="J6" s="22">
        <v>39125.0</v>
      </c>
      <c r="K6" s="57" t="s">
        <v>3312</v>
      </c>
      <c r="L6" s="57" t="s">
        <v>3313</v>
      </c>
      <c r="M6" s="112" t="s">
        <v>3314</v>
      </c>
      <c r="N6" s="113" t="s">
        <v>3315</v>
      </c>
      <c r="O6" s="57" t="s">
        <v>3316</v>
      </c>
      <c r="P6" s="57" t="s">
        <v>324</v>
      </c>
      <c r="Q6" s="57" t="s">
        <v>55</v>
      </c>
      <c r="R6" s="57" t="s">
        <v>3317</v>
      </c>
      <c r="S6" s="57" t="s">
        <v>57</v>
      </c>
      <c r="T6" s="57" t="s">
        <v>3318</v>
      </c>
      <c r="U6" s="112" t="s">
        <v>3319</v>
      </c>
      <c r="V6" s="57" t="s">
        <v>3320</v>
      </c>
      <c r="W6" s="57" t="s">
        <v>3321</v>
      </c>
      <c r="X6" s="57" t="s">
        <v>62</v>
      </c>
      <c r="Y6" s="57" t="s">
        <v>63</v>
      </c>
      <c r="Z6" s="57" t="s">
        <v>3322</v>
      </c>
      <c r="AA6" s="57" t="s">
        <v>3317</v>
      </c>
      <c r="AB6" s="112" t="s">
        <v>3315</v>
      </c>
      <c r="AC6" s="57" t="s">
        <v>67</v>
      </c>
      <c r="AD6" s="57" t="s">
        <v>3323</v>
      </c>
      <c r="AE6" s="57" t="s">
        <v>3324</v>
      </c>
      <c r="AF6" s="57">
        <v>2.2252609E7</v>
      </c>
      <c r="AG6" s="57" t="s">
        <v>3317</v>
      </c>
      <c r="AH6" s="57" t="s">
        <v>324</v>
      </c>
      <c r="AI6" s="112" t="s">
        <v>3325</v>
      </c>
      <c r="AJ6" s="57" t="s">
        <v>3326</v>
      </c>
      <c r="AK6" s="57" t="s">
        <v>3327</v>
      </c>
      <c r="AL6" s="20" t="s">
        <v>3328</v>
      </c>
      <c r="AM6" s="114"/>
      <c r="AN6" s="114"/>
      <c r="AO6" s="114"/>
      <c r="AP6" s="114"/>
      <c r="AQ6" s="114"/>
      <c r="AR6" s="114"/>
      <c r="AS6" s="114"/>
      <c r="AT6" s="114"/>
      <c r="AU6" s="114"/>
      <c r="AV6" s="114"/>
      <c r="AW6" s="114"/>
      <c r="AX6" s="114"/>
      <c r="AY6" s="114"/>
      <c r="AZ6" s="114"/>
      <c r="BA6" s="114"/>
      <c r="BB6" s="114"/>
      <c r="BC6" s="114"/>
      <c r="BD6" s="114"/>
      <c r="BE6" s="114"/>
      <c r="BF6" s="114"/>
    </row>
    <row r="7" ht="60.0" customHeight="1">
      <c r="A7" s="57" t="s">
        <v>3329</v>
      </c>
      <c r="B7" s="57" t="s">
        <v>3330</v>
      </c>
      <c r="C7" s="57" t="s">
        <v>3282</v>
      </c>
      <c r="D7" s="111" t="s">
        <v>48</v>
      </c>
      <c r="E7" s="57" t="s">
        <v>49</v>
      </c>
      <c r="F7" s="57" t="s">
        <v>3331</v>
      </c>
      <c r="G7" s="57" t="s">
        <v>3332</v>
      </c>
      <c r="H7" s="22">
        <v>45099.0</v>
      </c>
      <c r="I7" s="22">
        <f>'17020 SAI'!$H7+'17025 SAL'!$AN$1</f>
        <v>46559</v>
      </c>
      <c r="J7" s="22">
        <v>39791.0</v>
      </c>
      <c r="K7" s="57" t="s">
        <v>3333</v>
      </c>
      <c r="L7" s="57" t="s">
        <v>403</v>
      </c>
      <c r="M7" s="112" t="s">
        <v>404</v>
      </c>
      <c r="N7" s="57"/>
      <c r="O7" s="57" t="s">
        <v>406</v>
      </c>
      <c r="P7" s="57" t="s">
        <v>407</v>
      </c>
      <c r="Q7" s="57" t="s">
        <v>55</v>
      </c>
      <c r="R7" s="57" t="s">
        <v>3334</v>
      </c>
      <c r="S7" s="57" t="s">
        <v>121</v>
      </c>
      <c r="T7" s="57" t="s">
        <v>409</v>
      </c>
      <c r="U7" s="57" t="s">
        <v>3335</v>
      </c>
      <c r="V7" s="57" t="s">
        <v>410</v>
      </c>
      <c r="W7" s="57">
        <v>9.00460935E8</v>
      </c>
      <c r="X7" s="57" t="s">
        <v>62</v>
      </c>
      <c r="Y7" s="57" t="s">
        <v>63</v>
      </c>
      <c r="Z7" s="57" t="s">
        <v>411</v>
      </c>
      <c r="AA7" s="57" t="s">
        <v>412</v>
      </c>
      <c r="AB7" s="57"/>
      <c r="AC7" s="57" t="s">
        <v>413</v>
      </c>
      <c r="AD7" s="112" t="s">
        <v>414</v>
      </c>
      <c r="AE7" s="57" t="s">
        <v>415</v>
      </c>
      <c r="AF7" s="57" t="s">
        <v>406</v>
      </c>
      <c r="AG7" s="57" t="s">
        <v>3336</v>
      </c>
      <c r="AH7" s="57" t="s">
        <v>407</v>
      </c>
      <c r="AI7" s="112" t="s">
        <v>414</v>
      </c>
      <c r="AJ7" s="57" t="s">
        <v>416</v>
      </c>
      <c r="AK7" s="57" t="s">
        <v>417</v>
      </c>
      <c r="AL7" s="20" t="s">
        <v>3337</v>
      </c>
      <c r="AM7" s="114"/>
      <c r="AN7" s="114"/>
      <c r="AO7" s="114"/>
      <c r="AP7" s="114"/>
      <c r="AQ7" s="114"/>
      <c r="AR7" s="114"/>
      <c r="AS7" s="114"/>
      <c r="AT7" s="114"/>
      <c r="AU7" s="114"/>
      <c r="AV7" s="114"/>
      <c r="AW7" s="114"/>
      <c r="AX7" s="114"/>
      <c r="AY7" s="114"/>
      <c r="AZ7" s="114"/>
      <c r="BA7" s="114"/>
      <c r="BB7" s="114"/>
      <c r="BC7" s="114"/>
      <c r="BD7" s="114"/>
      <c r="BE7" s="114"/>
      <c r="BF7" s="114"/>
    </row>
    <row r="8" ht="60.0" customHeight="1">
      <c r="A8" s="57" t="s">
        <v>3338</v>
      </c>
      <c r="B8" s="57" t="s">
        <v>3338</v>
      </c>
      <c r="C8" s="57" t="s">
        <v>3282</v>
      </c>
      <c r="D8" s="111" t="s">
        <v>213</v>
      </c>
      <c r="E8" s="57" t="s">
        <v>49</v>
      </c>
      <c r="F8" s="57" t="s">
        <v>3339</v>
      </c>
      <c r="G8" s="57" t="s">
        <v>3311</v>
      </c>
      <c r="H8" s="22">
        <v>44151.0</v>
      </c>
      <c r="I8" s="22">
        <f>'17020 SAI'!$H8+'17025 SAL'!$AN$1</f>
        <v>45611</v>
      </c>
      <c r="J8" s="22">
        <v>40162.0</v>
      </c>
      <c r="K8" s="57" t="s">
        <v>3340</v>
      </c>
      <c r="L8" s="57" t="s">
        <v>3341</v>
      </c>
      <c r="M8" s="112" t="s">
        <v>3342</v>
      </c>
      <c r="N8" s="112" t="s">
        <v>3343</v>
      </c>
      <c r="O8" s="57" t="s">
        <v>3344</v>
      </c>
      <c r="P8" s="57" t="s">
        <v>3345</v>
      </c>
      <c r="Q8" s="57" t="s">
        <v>55</v>
      </c>
      <c r="R8" s="57" t="s">
        <v>3346</v>
      </c>
      <c r="S8" s="57" t="s">
        <v>121</v>
      </c>
      <c r="T8" s="57" t="s">
        <v>3347</v>
      </c>
      <c r="U8" s="112" t="str">
        <f>HYPERLINK("http://www.rtv.co.cr/","www.rtv.co.cr")</f>
        <v>www.rtv.co.cr</v>
      </c>
      <c r="V8" s="57" t="s">
        <v>3348</v>
      </c>
      <c r="W8" s="57" t="s">
        <v>3349</v>
      </c>
      <c r="X8" s="57" t="s">
        <v>62</v>
      </c>
      <c r="Y8" s="57" t="s">
        <v>63</v>
      </c>
      <c r="Z8" s="57" t="s">
        <v>3350</v>
      </c>
      <c r="AA8" s="57" t="s">
        <v>3351</v>
      </c>
      <c r="AB8" s="57"/>
      <c r="AC8" s="57" t="s">
        <v>67</v>
      </c>
      <c r="AD8" s="57" t="s">
        <v>170</v>
      </c>
      <c r="AE8" s="57" t="s">
        <v>3352</v>
      </c>
      <c r="AF8" s="57" t="s">
        <v>3353</v>
      </c>
      <c r="AG8" s="57" t="s">
        <v>3351</v>
      </c>
      <c r="AH8" s="57" t="s">
        <v>3345</v>
      </c>
      <c r="AI8" s="112" t="str">
        <f>HYPERLINK("mailto:tesoreria@rtv.co.cr","tesoreria@rtv.co.cr")</f>
        <v>tesoreria@rtv.co.cr</v>
      </c>
      <c r="AJ8" s="57" t="s">
        <v>3354</v>
      </c>
      <c r="AK8" s="57" t="s">
        <v>3338</v>
      </c>
      <c r="AL8" s="20" t="s">
        <v>3355</v>
      </c>
      <c r="AM8" s="114"/>
      <c r="AN8" s="114"/>
      <c r="AO8" s="114"/>
      <c r="AP8" s="114"/>
      <c r="AQ8" s="114"/>
      <c r="AR8" s="114"/>
      <c r="AS8" s="114"/>
      <c r="AT8" s="114"/>
      <c r="AU8" s="114"/>
      <c r="AV8" s="114"/>
      <c r="AW8" s="114"/>
      <c r="AX8" s="114"/>
      <c r="AY8" s="114"/>
      <c r="AZ8" s="114"/>
      <c r="BA8" s="114"/>
      <c r="BB8" s="114"/>
      <c r="BC8" s="114"/>
      <c r="BD8" s="114"/>
      <c r="BE8" s="114"/>
      <c r="BF8" s="114"/>
    </row>
    <row r="9" ht="60.0" customHeight="1">
      <c r="A9" s="57" t="s">
        <v>3356</v>
      </c>
      <c r="B9" s="57" t="s">
        <v>3357</v>
      </c>
      <c r="C9" s="57" t="s">
        <v>3282</v>
      </c>
      <c r="D9" s="111" t="s">
        <v>48</v>
      </c>
      <c r="E9" s="57" t="s">
        <v>49</v>
      </c>
      <c r="F9" s="57" t="s">
        <v>3358</v>
      </c>
      <c r="G9" s="57" t="s">
        <v>3331</v>
      </c>
      <c r="H9" s="22">
        <v>45425.0</v>
      </c>
      <c r="I9" s="22">
        <f>'17020 SAI'!$H9+'17025 SAL'!$AN$1</f>
        <v>46885</v>
      </c>
      <c r="J9" s="22">
        <v>40162.0</v>
      </c>
      <c r="K9" s="57" t="s">
        <v>3359</v>
      </c>
      <c r="L9" s="57" t="s">
        <v>3360</v>
      </c>
      <c r="M9" s="112" t="s">
        <v>3361</v>
      </c>
      <c r="N9" s="112" t="s">
        <v>3362</v>
      </c>
      <c r="O9" s="57" t="s">
        <v>3363</v>
      </c>
      <c r="P9" s="57" t="s">
        <v>324</v>
      </c>
      <c r="Q9" s="57" t="s">
        <v>55</v>
      </c>
      <c r="R9" s="57" t="s">
        <v>3364</v>
      </c>
      <c r="S9" s="57" t="s">
        <v>979</v>
      </c>
      <c r="T9" s="57" t="s">
        <v>3365</v>
      </c>
      <c r="U9" s="57" t="s">
        <v>3366</v>
      </c>
      <c r="V9" s="57" t="s">
        <v>3367</v>
      </c>
      <c r="W9" s="57" t="s">
        <v>3368</v>
      </c>
      <c r="X9" s="57" t="s">
        <v>84</v>
      </c>
      <c r="Y9" s="57" t="s">
        <v>63</v>
      </c>
      <c r="Z9" s="57" t="s">
        <v>2380</v>
      </c>
      <c r="AA9" s="57" t="s">
        <v>3369</v>
      </c>
      <c r="AB9" s="57"/>
      <c r="AC9" s="57" t="s">
        <v>3370</v>
      </c>
      <c r="AD9" s="57" t="s">
        <v>3371</v>
      </c>
      <c r="AE9" s="57" t="s">
        <v>3367</v>
      </c>
      <c r="AF9" s="57" t="s">
        <v>3372</v>
      </c>
      <c r="AG9" s="57" t="s">
        <v>3373</v>
      </c>
      <c r="AH9" s="57" t="s">
        <v>3374</v>
      </c>
      <c r="AI9" s="57" t="s">
        <v>3375</v>
      </c>
      <c r="AJ9" s="57" t="s">
        <v>3376</v>
      </c>
      <c r="AK9" s="57" t="s">
        <v>3356</v>
      </c>
      <c r="AL9" s="20" t="s">
        <v>3377</v>
      </c>
      <c r="AM9" s="114"/>
      <c r="AN9" s="114"/>
      <c r="AO9" s="114"/>
      <c r="AP9" s="114"/>
      <c r="AQ9" s="114"/>
      <c r="AR9" s="114"/>
      <c r="AS9" s="114"/>
      <c r="AT9" s="114"/>
      <c r="AU9" s="114"/>
      <c r="AV9" s="114"/>
      <c r="AW9" s="114"/>
      <c r="AX9" s="114"/>
      <c r="AY9" s="114"/>
      <c r="AZ9" s="114"/>
      <c r="BA9" s="114"/>
      <c r="BB9" s="114"/>
      <c r="BC9" s="114"/>
      <c r="BD9" s="114"/>
      <c r="BE9" s="114"/>
      <c r="BF9" s="114"/>
    </row>
    <row r="10" ht="60.0" customHeight="1">
      <c r="A10" s="57" t="s">
        <v>3378</v>
      </c>
      <c r="B10" s="57" t="s">
        <v>3379</v>
      </c>
      <c r="C10" s="57" t="s">
        <v>3282</v>
      </c>
      <c r="D10" s="111" t="s">
        <v>48</v>
      </c>
      <c r="E10" s="57" t="s">
        <v>49</v>
      </c>
      <c r="F10" s="57" t="s">
        <v>3380</v>
      </c>
      <c r="G10" s="57" t="s">
        <v>3381</v>
      </c>
      <c r="H10" s="22">
        <v>43893.0</v>
      </c>
      <c r="I10" s="22">
        <f>'17020 SAI'!$H10+'17025 SAL'!$AN$1</f>
        <v>45353</v>
      </c>
      <c r="J10" s="22">
        <v>40162.0</v>
      </c>
      <c r="K10" s="57" t="s">
        <v>3382</v>
      </c>
      <c r="L10" s="57" t="s">
        <v>824</v>
      </c>
      <c r="M10" s="57" t="s">
        <v>3383</v>
      </c>
      <c r="N10" s="57" t="s">
        <v>3384</v>
      </c>
      <c r="O10" s="57" t="s">
        <v>3385</v>
      </c>
      <c r="P10" s="57">
        <v>2.1028308E7</v>
      </c>
      <c r="Q10" s="57" t="s">
        <v>55</v>
      </c>
      <c r="R10" s="57" t="s">
        <v>3386</v>
      </c>
      <c r="S10" s="57" t="s">
        <v>57</v>
      </c>
      <c r="T10" s="57" t="s">
        <v>3387</v>
      </c>
      <c r="U10" s="57" t="s">
        <v>3388</v>
      </c>
      <c r="V10" s="57" t="s">
        <v>3389</v>
      </c>
      <c r="W10" s="57" t="s">
        <v>3390</v>
      </c>
      <c r="X10" s="57" t="s">
        <v>84</v>
      </c>
      <c r="Y10" s="57" t="s">
        <v>63</v>
      </c>
      <c r="Z10" s="57" t="s">
        <v>2380</v>
      </c>
      <c r="AA10" s="57" t="s">
        <v>3386</v>
      </c>
      <c r="AB10" s="57"/>
      <c r="AC10" s="57" t="s">
        <v>3391</v>
      </c>
      <c r="AD10" s="57"/>
      <c r="AE10" s="57" t="s">
        <v>824</v>
      </c>
      <c r="AF10" s="57" t="s">
        <v>3385</v>
      </c>
      <c r="AG10" s="57" t="s">
        <v>3392</v>
      </c>
      <c r="AH10" s="57" t="s">
        <v>3393</v>
      </c>
      <c r="AI10" s="57" t="s">
        <v>3394</v>
      </c>
      <c r="AJ10" s="57" t="s">
        <v>3395</v>
      </c>
      <c r="AK10" s="57" t="s">
        <v>3378</v>
      </c>
      <c r="AL10" s="20"/>
      <c r="AM10" s="114"/>
      <c r="AN10" s="114"/>
      <c r="AO10" s="114"/>
      <c r="AP10" s="114"/>
      <c r="AQ10" s="114"/>
      <c r="AR10" s="114"/>
      <c r="AS10" s="114"/>
      <c r="AT10" s="114"/>
      <c r="AU10" s="114"/>
      <c r="AV10" s="114"/>
      <c r="AW10" s="114"/>
      <c r="AX10" s="114"/>
      <c r="AY10" s="114"/>
      <c r="AZ10" s="114"/>
      <c r="BA10" s="114"/>
      <c r="BB10" s="114"/>
      <c r="BC10" s="114"/>
      <c r="BD10" s="114"/>
      <c r="BE10" s="114"/>
      <c r="BF10" s="114"/>
    </row>
    <row r="11" ht="60.0" customHeight="1">
      <c r="A11" s="57" t="s">
        <v>3396</v>
      </c>
      <c r="B11" s="57" t="s">
        <v>3397</v>
      </c>
      <c r="C11" s="57" t="s">
        <v>3282</v>
      </c>
      <c r="D11" s="111" t="s">
        <v>48</v>
      </c>
      <c r="E11" s="57" t="s">
        <v>49</v>
      </c>
      <c r="F11" s="57" t="s">
        <v>3398</v>
      </c>
      <c r="G11" s="57" t="s">
        <v>3339</v>
      </c>
      <c r="H11" s="22">
        <v>45203.0</v>
      </c>
      <c r="I11" s="22">
        <f>'17020 SAI'!$H11+'17025 SAL'!$AN$1</f>
        <v>46663</v>
      </c>
      <c r="J11" s="22">
        <v>40211.0</v>
      </c>
      <c r="K11" s="57" t="s">
        <v>3399</v>
      </c>
      <c r="L11" s="57" t="s">
        <v>3400</v>
      </c>
      <c r="M11" s="57" t="s">
        <v>3401</v>
      </c>
      <c r="N11" s="57"/>
      <c r="O11" s="57" t="s">
        <v>3402</v>
      </c>
      <c r="P11" s="57" t="s">
        <v>3403</v>
      </c>
      <c r="Q11" s="57" t="s">
        <v>55</v>
      </c>
      <c r="R11" s="57" t="s">
        <v>3404</v>
      </c>
      <c r="S11" s="57" t="s">
        <v>57</v>
      </c>
      <c r="T11" s="57" t="s">
        <v>3405</v>
      </c>
      <c r="U11" s="112" t="str">
        <f>HYPERLINK("http://www.consultorasalasa.com;/","www.consultorasalasa.com;")</f>
        <v>www.consultorasalasa.com;</v>
      </c>
      <c r="V11" s="57" t="s">
        <v>3400</v>
      </c>
      <c r="W11" s="57" t="s">
        <v>3406</v>
      </c>
      <c r="X11" s="57" t="s">
        <v>326</v>
      </c>
      <c r="Y11" s="57" t="s">
        <v>85</v>
      </c>
      <c r="Z11" s="57" t="s">
        <v>411</v>
      </c>
      <c r="AA11" s="57" t="s">
        <v>3407</v>
      </c>
      <c r="AB11" s="57"/>
      <c r="AC11" s="57" t="s">
        <v>1654</v>
      </c>
      <c r="AD11" s="57" t="s">
        <v>3408</v>
      </c>
      <c r="AE11" s="57" t="s">
        <v>3409</v>
      </c>
      <c r="AF11" s="57" t="s">
        <v>3402</v>
      </c>
      <c r="AG11" s="57" t="s">
        <v>3407</v>
      </c>
      <c r="AH11" s="57" t="s">
        <v>3410</v>
      </c>
      <c r="AI11" s="57" t="s">
        <v>3411</v>
      </c>
      <c r="AJ11" s="57" t="s">
        <v>3412</v>
      </c>
      <c r="AK11" s="57" t="s">
        <v>3396</v>
      </c>
      <c r="AL11" s="20"/>
      <c r="AM11" s="114"/>
      <c r="AN11" s="114"/>
      <c r="AO11" s="114"/>
      <c r="AP11" s="114"/>
      <c r="AQ11" s="114"/>
      <c r="AR11" s="114"/>
      <c r="AS11" s="114"/>
      <c r="AT11" s="114"/>
      <c r="AU11" s="114"/>
      <c r="AV11" s="114"/>
      <c r="AW11" s="114"/>
      <c r="AX11" s="114"/>
      <c r="AY11" s="114"/>
      <c r="AZ11" s="114"/>
      <c r="BA11" s="114"/>
      <c r="BB11" s="114"/>
      <c r="BC11" s="114"/>
      <c r="BD11" s="114"/>
      <c r="BE11" s="114"/>
      <c r="BF11" s="114"/>
    </row>
    <row r="12" ht="60.0" customHeight="1">
      <c r="A12" s="57" t="s">
        <v>3413</v>
      </c>
      <c r="B12" s="57"/>
      <c r="C12" s="57" t="s">
        <v>3282</v>
      </c>
      <c r="D12" s="111" t="s">
        <v>2027</v>
      </c>
      <c r="E12" s="57" t="s">
        <v>49</v>
      </c>
      <c r="F12" s="57" t="s">
        <v>3414</v>
      </c>
      <c r="G12" s="57"/>
      <c r="H12" s="22"/>
      <c r="I12" s="22">
        <f>'17020 SAI'!$H12+'17025 SAL'!$AN$1</f>
        <v>1460</v>
      </c>
      <c r="J12" s="22" t="s">
        <v>3415</v>
      </c>
      <c r="K12" s="57" t="s">
        <v>730</v>
      </c>
      <c r="L12" s="57" t="s">
        <v>3416</v>
      </c>
      <c r="M12" s="57" t="s">
        <v>3417</v>
      </c>
      <c r="N12" s="57"/>
      <c r="O12" s="57" t="s">
        <v>3418</v>
      </c>
      <c r="P12" s="57" t="s">
        <v>3419</v>
      </c>
      <c r="Q12" s="57" t="s">
        <v>55</v>
      </c>
      <c r="R12" s="57" t="s">
        <v>3420</v>
      </c>
      <c r="S12" s="57"/>
      <c r="T12" s="57" t="s">
        <v>3421</v>
      </c>
      <c r="U12" s="57"/>
      <c r="V12" s="57"/>
      <c r="W12" s="57"/>
      <c r="X12" s="57"/>
      <c r="Y12" s="57"/>
      <c r="Z12" s="57"/>
      <c r="AA12" s="57"/>
      <c r="AB12" s="57"/>
      <c r="AC12" s="57"/>
      <c r="AD12" s="57"/>
      <c r="AE12" s="57"/>
      <c r="AF12" s="57"/>
      <c r="AG12" s="57"/>
      <c r="AH12" s="57"/>
      <c r="AI12" s="57"/>
      <c r="AJ12" s="57"/>
      <c r="AK12" s="57" t="s">
        <v>3413</v>
      </c>
      <c r="AL12" s="20"/>
    </row>
    <row r="13" ht="60.0" customHeight="1">
      <c r="A13" s="57" t="s">
        <v>3422</v>
      </c>
      <c r="B13" s="57" t="s">
        <v>3423</v>
      </c>
      <c r="C13" s="57" t="s">
        <v>3282</v>
      </c>
      <c r="D13" s="111" t="s">
        <v>48</v>
      </c>
      <c r="E13" s="57" t="s">
        <v>49</v>
      </c>
      <c r="F13" s="57" t="s">
        <v>3424</v>
      </c>
      <c r="G13" s="57" t="s">
        <v>3358</v>
      </c>
      <c r="H13" s="22">
        <v>45190.0</v>
      </c>
      <c r="I13" s="22">
        <f>'17020 SAI'!$H13+'17025 SAL'!$AN$1</f>
        <v>46650</v>
      </c>
      <c r="J13" s="22">
        <v>40260.0</v>
      </c>
      <c r="K13" s="57" t="s">
        <v>3425</v>
      </c>
      <c r="L13" s="57" t="s">
        <v>3426</v>
      </c>
      <c r="M13" s="112" t="s">
        <v>3427</v>
      </c>
      <c r="N13" s="112" t="s">
        <v>3428</v>
      </c>
      <c r="O13" s="57" t="s">
        <v>3429</v>
      </c>
      <c r="P13" s="57"/>
      <c r="Q13" s="57" t="s">
        <v>55</v>
      </c>
      <c r="R13" s="57" t="s">
        <v>3430</v>
      </c>
      <c r="S13" s="57" t="s">
        <v>104</v>
      </c>
      <c r="T13" s="57" t="s">
        <v>3431</v>
      </c>
      <c r="U13" s="112" t="str">
        <f>HYPERLINK("http://www.construccionesgutierrez.com;/","www.construccionesgutierrez.com;")</f>
        <v>www.construccionesgutierrez.com;</v>
      </c>
      <c r="V13" s="57" t="s">
        <v>3432</v>
      </c>
      <c r="W13" s="57" t="s">
        <v>3433</v>
      </c>
      <c r="X13" s="57" t="s">
        <v>62</v>
      </c>
      <c r="Y13" s="57" t="s">
        <v>63</v>
      </c>
      <c r="Z13" s="57" t="s">
        <v>411</v>
      </c>
      <c r="AA13" s="57" t="s">
        <v>3430</v>
      </c>
      <c r="AB13" s="57"/>
      <c r="AC13" s="57" t="s">
        <v>2173</v>
      </c>
      <c r="AD13" s="57" t="s">
        <v>324</v>
      </c>
      <c r="AE13" s="57" t="s">
        <v>3434</v>
      </c>
      <c r="AF13" s="57" t="s">
        <v>3435</v>
      </c>
      <c r="AG13" s="57" t="s">
        <v>3430</v>
      </c>
      <c r="AH13" s="57" t="s">
        <v>3436</v>
      </c>
      <c r="AI13" s="57" t="s">
        <v>3437</v>
      </c>
      <c r="AJ13" s="57" t="s">
        <v>3438</v>
      </c>
      <c r="AK13" s="57" t="s">
        <v>3422</v>
      </c>
      <c r="AL13" s="20"/>
      <c r="AM13" s="114"/>
      <c r="AN13" s="114"/>
      <c r="AO13" s="114"/>
      <c r="AP13" s="114"/>
      <c r="AQ13" s="114"/>
      <c r="AR13" s="114"/>
      <c r="AS13" s="114"/>
      <c r="AT13" s="114"/>
      <c r="AU13" s="114"/>
      <c r="AV13" s="114"/>
      <c r="AW13" s="114"/>
      <c r="AX13" s="114"/>
      <c r="AY13" s="114"/>
      <c r="AZ13" s="114"/>
      <c r="BA13" s="114"/>
      <c r="BB13" s="114"/>
      <c r="BC13" s="114"/>
      <c r="BD13" s="114"/>
      <c r="BE13" s="114"/>
      <c r="BF13" s="114"/>
    </row>
    <row r="14" ht="60.0" customHeight="1">
      <c r="A14" s="57" t="s">
        <v>3439</v>
      </c>
      <c r="B14" s="57" t="s">
        <v>3440</v>
      </c>
      <c r="C14" s="57" t="s">
        <v>3282</v>
      </c>
      <c r="D14" s="111" t="s">
        <v>48</v>
      </c>
      <c r="E14" s="57" t="s">
        <v>49</v>
      </c>
      <c r="F14" s="57" t="s">
        <v>3441</v>
      </c>
      <c r="G14" s="57" t="s">
        <v>3398</v>
      </c>
      <c r="H14" s="22">
        <v>45384.0</v>
      </c>
      <c r="I14" s="22">
        <f>'17020 SAI'!$H14+'17025 SAL'!$AN$1</f>
        <v>46844</v>
      </c>
      <c r="J14" s="22">
        <v>40263.0</v>
      </c>
      <c r="K14" s="57" t="s">
        <v>3442</v>
      </c>
      <c r="L14" s="57" t="s">
        <v>3443</v>
      </c>
      <c r="M14" s="112" t="s">
        <v>3444</v>
      </c>
      <c r="N14" s="112" t="s">
        <v>3445</v>
      </c>
      <c r="O14" s="57">
        <v>2.7113201E7</v>
      </c>
      <c r="P14" s="57">
        <v>2.7107491E7</v>
      </c>
      <c r="Q14" s="57" t="s">
        <v>55</v>
      </c>
      <c r="R14" s="57" t="s">
        <v>3446</v>
      </c>
      <c r="S14" s="57" t="s">
        <v>1570</v>
      </c>
      <c r="T14" s="57" t="s">
        <v>3447</v>
      </c>
      <c r="U14" s="57" t="s">
        <v>324</v>
      </c>
      <c r="V14" s="57" t="s">
        <v>3448</v>
      </c>
      <c r="W14" s="57">
        <v>1.07310046E8</v>
      </c>
      <c r="X14" s="57" t="s">
        <v>62</v>
      </c>
      <c r="Y14" s="57" t="s">
        <v>63</v>
      </c>
      <c r="Z14" s="57" t="s">
        <v>411</v>
      </c>
      <c r="AA14" s="57" t="s">
        <v>3446</v>
      </c>
      <c r="AB14" s="57"/>
      <c r="AC14" s="57" t="s">
        <v>1055</v>
      </c>
      <c r="AD14" s="57"/>
      <c r="AE14" s="57" t="s">
        <v>3449</v>
      </c>
      <c r="AF14" s="57">
        <v>2.7113201E7</v>
      </c>
      <c r="AG14" s="57" t="s">
        <v>3446</v>
      </c>
      <c r="AH14" s="57">
        <v>2.7107491E7</v>
      </c>
      <c r="AI14" s="57" t="s">
        <v>3450</v>
      </c>
      <c r="AJ14" s="57" t="s">
        <v>3451</v>
      </c>
      <c r="AK14" s="57" t="s">
        <v>3439</v>
      </c>
      <c r="AL14" s="20"/>
      <c r="AM14" s="114"/>
      <c r="AN14" s="114"/>
      <c r="AO14" s="114"/>
      <c r="AP14" s="114"/>
      <c r="AQ14" s="114"/>
      <c r="AR14" s="114"/>
      <c r="AS14" s="114"/>
      <c r="AT14" s="114"/>
      <c r="AU14" s="114"/>
      <c r="AV14" s="114"/>
      <c r="AW14" s="114"/>
      <c r="AX14" s="114"/>
      <c r="AY14" s="114"/>
      <c r="AZ14" s="114"/>
      <c r="BA14" s="114"/>
      <c r="BB14" s="114"/>
      <c r="BC14" s="114"/>
      <c r="BD14" s="114"/>
      <c r="BE14" s="114"/>
      <c r="BF14" s="114"/>
    </row>
    <row r="15" ht="60.0" customHeight="1">
      <c r="A15" s="57" t="s">
        <v>3452</v>
      </c>
      <c r="B15" s="57"/>
      <c r="C15" s="57" t="s">
        <v>3282</v>
      </c>
      <c r="D15" s="111" t="s">
        <v>213</v>
      </c>
      <c r="E15" s="57" t="s">
        <v>49</v>
      </c>
      <c r="F15" s="57" t="s">
        <v>3453</v>
      </c>
      <c r="G15" s="57" t="s">
        <v>3441</v>
      </c>
      <c r="H15" s="22"/>
      <c r="I15" s="22">
        <f>'17020 SAI'!$H15+'17025 SAL'!$AN$1</f>
        <v>1460</v>
      </c>
      <c r="J15" s="22">
        <v>40297.0</v>
      </c>
      <c r="K15" s="57" t="s">
        <v>730</v>
      </c>
      <c r="L15" s="57" t="s">
        <v>3454</v>
      </c>
      <c r="M15" s="57" t="s">
        <v>3455</v>
      </c>
      <c r="N15" s="57"/>
      <c r="O15" s="57" t="s">
        <v>3456</v>
      </c>
      <c r="P15" s="57" t="s">
        <v>3457</v>
      </c>
      <c r="Q15" s="57" t="s">
        <v>55</v>
      </c>
      <c r="R15" s="57" t="s">
        <v>3458</v>
      </c>
      <c r="S15" s="57"/>
      <c r="T15" s="57" t="s">
        <v>3459</v>
      </c>
      <c r="U15" s="57" t="s">
        <v>3460</v>
      </c>
      <c r="V15" s="57" t="s">
        <v>3454</v>
      </c>
      <c r="W15" s="57" t="s">
        <v>3461</v>
      </c>
      <c r="X15" s="57" t="s">
        <v>3462</v>
      </c>
      <c r="Y15" s="57" t="s">
        <v>3463</v>
      </c>
      <c r="Z15" s="57" t="s">
        <v>3464</v>
      </c>
      <c r="AA15" s="57" t="s">
        <v>3458</v>
      </c>
      <c r="AB15" s="57"/>
      <c r="AC15" s="57" t="s">
        <v>3465</v>
      </c>
      <c r="AD15" s="57" t="s">
        <v>3454</v>
      </c>
      <c r="AE15" s="57" t="s">
        <v>3466</v>
      </c>
      <c r="AF15" s="57" t="s">
        <v>3456</v>
      </c>
      <c r="AG15" s="57" t="s">
        <v>3458</v>
      </c>
      <c r="AH15" s="57" t="s">
        <v>3457</v>
      </c>
      <c r="AI15" s="57" t="s">
        <v>3455</v>
      </c>
      <c r="AJ15" s="57" t="s">
        <v>2176</v>
      </c>
      <c r="AK15" s="57" t="s">
        <v>3452</v>
      </c>
      <c r="AL15" s="20" t="s">
        <v>3467</v>
      </c>
    </row>
    <row r="16" ht="60.0" customHeight="1">
      <c r="A16" s="57" t="s">
        <v>3468</v>
      </c>
      <c r="B16" s="57" t="s">
        <v>3469</v>
      </c>
      <c r="C16" s="57" t="s">
        <v>3282</v>
      </c>
      <c r="D16" s="111" t="s">
        <v>48</v>
      </c>
      <c r="E16" s="57" t="s">
        <v>49</v>
      </c>
      <c r="F16" s="57" t="s">
        <v>3470</v>
      </c>
      <c r="G16" s="57" t="s">
        <v>3414</v>
      </c>
      <c r="H16" s="22">
        <v>45258.0</v>
      </c>
      <c r="I16" s="22">
        <f>'17020 SAI'!$H16+'17025 SAL'!$AN$1</f>
        <v>46718</v>
      </c>
      <c r="J16" s="22">
        <v>40281.0</v>
      </c>
      <c r="K16" s="57" t="s">
        <v>3471</v>
      </c>
      <c r="L16" s="57" t="s">
        <v>3472</v>
      </c>
      <c r="M16" s="112" t="s">
        <v>3473</v>
      </c>
      <c r="N16" s="57" t="s">
        <v>3474</v>
      </c>
      <c r="O16" s="57" t="s">
        <v>3475</v>
      </c>
      <c r="P16" s="57"/>
      <c r="Q16" s="57" t="s">
        <v>55</v>
      </c>
      <c r="R16" s="57" t="s">
        <v>3476</v>
      </c>
      <c r="S16" s="57" t="s">
        <v>57</v>
      </c>
      <c r="T16" s="57" t="s">
        <v>3477</v>
      </c>
      <c r="U16" s="57" t="s">
        <v>324</v>
      </c>
      <c r="V16" s="57" t="s">
        <v>3478</v>
      </c>
      <c r="W16" s="57" t="s">
        <v>3479</v>
      </c>
      <c r="X16" s="57" t="s">
        <v>957</v>
      </c>
      <c r="Y16" s="57" t="s">
        <v>85</v>
      </c>
      <c r="Z16" s="57" t="s">
        <v>3480</v>
      </c>
      <c r="AA16" s="57" t="s">
        <v>3481</v>
      </c>
      <c r="AB16" s="57"/>
      <c r="AC16" s="57" t="s">
        <v>1106</v>
      </c>
      <c r="AD16" s="57" t="s">
        <v>3482</v>
      </c>
      <c r="AE16" s="57" t="s">
        <v>3483</v>
      </c>
      <c r="AF16" s="57" t="s">
        <v>3484</v>
      </c>
      <c r="AG16" s="57" t="s">
        <v>3481</v>
      </c>
      <c r="AH16" s="57" t="s">
        <v>3484</v>
      </c>
      <c r="AI16" s="57" t="s">
        <v>3485</v>
      </c>
      <c r="AJ16" s="57" t="s">
        <v>577</v>
      </c>
      <c r="AK16" s="57" t="s">
        <v>3468</v>
      </c>
      <c r="AL16" s="20" t="s">
        <v>3486</v>
      </c>
      <c r="AM16" s="114"/>
      <c r="AN16" s="114"/>
      <c r="AO16" s="114"/>
      <c r="AP16" s="114"/>
      <c r="AQ16" s="114"/>
      <c r="AR16" s="114"/>
      <c r="AS16" s="114"/>
      <c r="AT16" s="114"/>
      <c r="AU16" s="114"/>
      <c r="AV16" s="114"/>
      <c r="AW16" s="114"/>
      <c r="AX16" s="114"/>
      <c r="AY16" s="114"/>
      <c r="AZ16" s="114"/>
      <c r="BA16" s="114"/>
      <c r="BB16" s="114"/>
      <c r="BC16" s="114"/>
      <c r="BD16" s="114"/>
      <c r="BE16" s="114"/>
      <c r="BF16" s="114"/>
    </row>
    <row r="17" ht="60.0" customHeight="1">
      <c r="A17" s="57" t="s">
        <v>3487</v>
      </c>
      <c r="B17" s="57" t="s">
        <v>3488</v>
      </c>
      <c r="C17" s="57" t="s">
        <v>3282</v>
      </c>
      <c r="D17" s="111" t="s">
        <v>48</v>
      </c>
      <c r="E17" s="57" t="s">
        <v>49</v>
      </c>
      <c r="F17" s="57" t="s">
        <v>3489</v>
      </c>
      <c r="G17" s="57" t="s">
        <v>3424</v>
      </c>
      <c r="H17" s="22">
        <v>43979.0</v>
      </c>
      <c r="I17" s="22">
        <f>'17020 SAI'!$H17+'17025 SAL'!$AN$1</f>
        <v>45439</v>
      </c>
      <c r="J17" s="22">
        <v>40281.0</v>
      </c>
      <c r="K17" s="57" t="s">
        <v>3490</v>
      </c>
      <c r="L17" s="57" t="s">
        <v>3491</v>
      </c>
      <c r="M17" s="112" t="s">
        <v>3492</v>
      </c>
      <c r="N17" s="57"/>
      <c r="O17" s="57" t="s">
        <v>3493</v>
      </c>
      <c r="P17" s="57" t="s">
        <v>3494</v>
      </c>
      <c r="Q17" s="57" t="s">
        <v>55</v>
      </c>
      <c r="R17" s="57" t="s">
        <v>3495</v>
      </c>
      <c r="S17" s="57" t="s">
        <v>979</v>
      </c>
      <c r="T17" s="57" t="s">
        <v>3496</v>
      </c>
      <c r="U17" s="57" t="s">
        <v>324</v>
      </c>
      <c r="V17" s="57" t="s">
        <v>3497</v>
      </c>
      <c r="W17" s="57" t="s">
        <v>3498</v>
      </c>
      <c r="X17" s="57" t="s">
        <v>529</v>
      </c>
      <c r="Y17" s="57" t="s">
        <v>63</v>
      </c>
      <c r="Z17" s="57" t="s">
        <v>411</v>
      </c>
      <c r="AA17" s="57" t="s">
        <v>3499</v>
      </c>
      <c r="AB17" s="57"/>
      <c r="AC17" s="57" t="s">
        <v>3500</v>
      </c>
      <c r="AD17" s="57" t="s">
        <v>3501</v>
      </c>
      <c r="AE17" s="57" t="s">
        <v>3502</v>
      </c>
      <c r="AF17" s="57" t="s">
        <v>3493</v>
      </c>
      <c r="AG17" s="57" t="s">
        <v>3499</v>
      </c>
      <c r="AH17" s="57" t="s">
        <v>3493</v>
      </c>
      <c r="AI17" s="112" t="s">
        <v>3503</v>
      </c>
      <c r="AJ17" s="57" t="s">
        <v>3504</v>
      </c>
      <c r="AK17" s="57" t="s">
        <v>3487</v>
      </c>
      <c r="AL17" s="20" t="s">
        <v>3505</v>
      </c>
      <c r="AM17" s="114"/>
      <c r="AN17" s="114"/>
      <c r="AO17" s="114"/>
      <c r="AP17" s="114"/>
      <c r="AQ17" s="114"/>
      <c r="AR17" s="114"/>
      <c r="AS17" s="114"/>
      <c r="AT17" s="114"/>
      <c r="AU17" s="114"/>
      <c r="AV17" s="114"/>
      <c r="AW17" s="114"/>
      <c r="AX17" s="114"/>
      <c r="AY17" s="114"/>
      <c r="AZ17" s="114"/>
      <c r="BA17" s="114"/>
      <c r="BB17" s="114"/>
      <c r="BC17" s="114"/>
      <c r="BD17" s="114"/>
      <c r="BE17" s="114"/>
      <c r="BF17" s="114"/>
    </row>
    <row r="18" ht="60.0" customHeight="1">
      <c r="A18" s="57" t="s">
        <v>3506</v>
      </c>
      <c r="B18" s="57" t="s">
        <v>3507</v>
      </c>
      <c r="C18" s="57" t="s">
        <v>3282</v>
      </c>
      <c r="D18" s="111" t="s">
        <v>48</v>
      </c>
      <c r="E18" s="57" t="s">
        <v>49</v>
      </c>
      <c r="F18" s="57" t="s">
        <v>3508</v>
      </c>
      <c r="G18" s="57" t="s">
        <v>3470</v>
      </c>
      <c r="H18" s="22">
        <v>45876.0</v>
      </c>
      <c r="I18" s="22" t="s">
        <v>76</v>
      </c>
      <c r="J18" s="22">
        <v>40297.0</v>
      </c>
      <c r="K18" s="57" t="s">
        <v>3509</v>
      </c>
      <c r="L18" s="57" t="s">
        <v>3510</v>
      </c>
      <c r="M18" s="57" t="s">
        <v>3511</v>
      </c>
      <c r="N18" s="57"/>
      <c r="O18" s="57" t="s">
        <v>3512</v>
      </c>
      <c r="P18" s="57" t="s">
        <v>3513</v>
      </c>
      <c r="Q18" s="57" t="s">
        <v>55</v>
      </c>
      <c r="R18" s="57" t="s">
        <v>3514</v>
      </c>
      <c r="S18" s="57" t="s">
        <v>490</v>
      </c>
      <c r="T18" s="57" t="s">
        <v>3515</v>
      </c>
      <c r="U18" s="112" t="str">
        <f>HYPERLINK("http://www.maucacr.com;/","www.maucacr.com;")</f>
        <v>www.maucacr.com;</v>
      </c>
      <c r="V18" s="57" t="s">
        <v>3516</v>
      </c>
      <c r="W18" s="57" t="s">
        <v>3517</v>
      </c>
      <c r="X18" s="57" t="s">
        <v>62</v>
      </c>
      <c r="Y18" s="57" t="s">
        <v>63</v>
      </c>
      <c r="Z18" s="57" t="s">
        <v>411</v>
      </c>
      <c r="AA18" s="57" t="s">
        <v>3518</v>
      </c>
      <c r="AB18" s="57"/>
      <c r="AC18" s="57" t="s">
        <v>3519</v>
      </c>
      <c r="AD18" s="57" t="s">
        <v>3516</v>
      </c>
      <c r="AE18" s="57" t="s">
        <v>3520</v>
      </c>
      <c r="AF18" s="57" t="s">
        <v>3512</v>
      </c>
      <c r="AG18" s="57" t="s">
        <v>3518</v>
      </c>
      <c r="AH18" s="57" t="s">
        <v>3513</v>
      </c>
      <c r="AI18" s="57" t="s">
        <v>3521</v>
      </c>
      <c r="AJ18" s="57" t="s">
        <v>3522</v>
      </c>
      <c r="AK18" s="57" t="s">
        <v>3506</v>
      </c>
      <c r="AL18" s="20"/>
      <c r="AM18" s="114"/>
      <c r="AN18" s="114"/>
      <c r="AO18" s="114"/>
      <c r="AP18" s="114"/>
      <c r="AQ18" s="114"/>
      <c r="AR18" s="114"/>
      <c r="AS18" s="114"/>
      <c r="AT18" s="114"/>
      <c r="AU18" s="114"/>
      <c r="AV18" s="114"/>
      <c r="AW18" s="114"/>
      <c r="AX18" s="114"/>
      <c r="AY18" s="114"/>
      <c r="AZ18" s="114"/>
      <c r="BA18" s="114"/>
      <c r="BB18" s="114"/>
      <c r="BC18" s="114"/>
      <c r="BD18" s="114"/>
      <c r="BE18" s="114"/>
      <c r="BF18" s="114"/>
    </row>
    <row r="19" ht="60.0" customHeight="1">
      <c r="A19" s="57" t="s">
        <v>3523</v>
      </c>
      <c r="B19" s="57" t="s">
        <v>3524</v>
      </c>
      <c r="C19" s="57" t="s">
        <v>3282</v>
      </c>
      <c r="D19" s="111" t="s">
        <v>48</v>
      </c>
      <c r="E19" s="57" t="s">
        <v>49</v>
      </c>
      <c r="F19" s="57" t="s">
        <v>3525</v>
      </c>
      <c r="G19" s="57" t="s">
        <v>3489</v>
      </c>
      <c r="H19" s="22">
        <v>45869.0</v>
      </c>
      <c r="I19" s="22" t="s">
        <v>76</v>
      </c>
      <c r="J19" s="22">
        <v>40297.0</v>
      </c>
      <c r="K19" s="57" t="s">
        <v>3526</v>
      </c>
      <c r="L19" s="57" t="s">
        <v>3527</v>
      </c>
      <c r="M19" s="57" t="s">
        <v>3528</v>
      </c>
      <c r="N19" s="57"/>
      <c r="O19" s="57" t="s">
        <v>3529</v>
      </c>
      <c r="P19" s="57" t="s">
        <v>324</v>
      </c>
      <c r="Q19" s="57" t="s">
        <v>55</v>
      </c>
      <c r="R19" s="57" t="s">
        <v>3530</v>
      </c>
      <c r="S19" s="57" t="s">
        <v>490</v>
      </c>
      <c r="T19" s="57" t="s">
        <v>3531</v>
      </c>
      <c r="U19" s="57" t="s">
        <v>324</v>
      </c>
      <c r="V19" s="57" t="s">
        <v>3532</v>
      </c>
      <c r="W19" s="57" t="s">
        <v>3533</v>
      </c>
      <c r="X19" s="57" t="s">
        <v>326</v>
      </c>
      <c r="Y19" s="57" t="s">
        <v>63</v>
      </c>
      <c r="Z19" s="57" t="s">
        <v>411</v>
      </c>
      <c r="AA19" s="57" t="s">
        <v>3530</v>
      </c>
      <c r="AB19" s="57"/>
      <c r="AC19" s="57" t="s">
        <v>1902</v>
      </c>
      <c r="AD19" s="57" t="s">
        <v>3532</v>
      </c>
      <c r="AE19" s="57" t="s">
        <v>3534</v>
      </c>
      <c r="AF19" s="57" t="s">
        <v>3529</v>
      </c>
      <c r="AG19" s="57" t="s">
        <v>3518</v>
      </c>
      <c r="AH19" s="57" t="s">
        <v>3513</v>
      </c>
      <c r="AI19" s="57" t="s">
        <v>3535</v>
      </c>
      <c r="AJ19" s="57" t="s">
        <v>3536</v>
      </c>
      <c r="AK19" s="57" t="s">
        <v>3523</v>
      </c>
      <c r="AL19" s="20"/>
      <c r="AM19" s="114"/>
      <c r="AN19" s="114"/>
      <c r="AO19" s="114"/>
      <c r="AP19" s="114"/>
      <c r="AQ19" s="114"/>
      <c r="AR19" s="114"/>
      <c r="AS19" s="114"/>
      <c r="AT19" s="114"/>
      <c r="AU19" s="114"/>
      <c r="AV19" s="114"/>
      <c r="AW19" s="114"/>
      <c r="AX19" s="114"/>
      <c r="AY19" s="114"/>
      <c r="AZ19" s="114"/>
      <c r="BA19" s="114"/>
      <c r="BB19" s="114"/>
      <c r="BC19" s="114"/>
      <c r="BD19" s="114"/>
      <c r="BE19" s="114"/>
      <c r="BF19" s="114"/>
    </row>
    <row r="20" ht="60.0" customHeight="1">
      <c r="A20" s="57" t="s">
        <v>3537</v>
      </c>
      <c r="B20" s="57" t="s">
        <v>3538</v>
      </c>
      <c r="C20" s="57" t="s">
        <v>3282</v>
      </c>
      <c r="D20" s="111" t="s">
        <v>48</v>
      </c>
      <c r="E20" s="57" t="s">
        <v>49</v>
      </c>
      <c r="F20" s="57" t="s">
        <v>3539</v>
      </c>
      <c r="G20" s="57" t="s">
        <v>3453</v>
      </c>
      <c r="H20" s="22">
        <v>45869.0</v>
      </c>
      <c r="I20" s="22" t="s">
        <v>76</v>
      </c>
      <c r="J20" s="22">
        <v>40297.0</v>
      </c>
      <c r="K20" s="57" t="s">
        <v>3540</v>
      </c>
      <c r="L20" s="57" t="s">
        <v>3541</v>
      </c>
      <c r="M20" s="112" t="s">
        <v>3542</v>
      </c>
      <c r="N20" s="57"/>
      <c r="O20" s="57" t="s">
        <v>3543</v>
      </c>
      <c r="P20" s="57" t="s">
        <v>3544</v>
      </c>
      <c r="Q20" s="57" t="s">
        <v>55</v>
      </c>
      <c r="R20" s="57" t="s">
        <v>3545</v>
      </c>
      <c r="S20" s="57" t="s">
        <v>121</v>
      </c>
      <c r="T20" s="57" t="s">
        <v>3546</v>
      </c>
      <c r="U20" s="57" t="s">
        <v>3547</v>
      </c>
      <c r="V20" s="57" t="s">
        <v>3548</v>
      </c>
      <c r="W20" s="57" t="s">
        <v>3549</v>
      </c>
      <c r="X20" s="57" t="s">
        <v>304</v>
      </c>
      <c r="Y20" s="57" t="s">
        <v>63</v>
      </c>
      <c r="Z20" s="57" t="s">
        <v>3550</v>
      </c>
      <c r="AA20" s="57" t="s">
        <v>3545</v>
      </c>
      <c r="AB20" s="57"/>
      <c r="AC20" s="57" t="s">
        <v>67</v>
      </c>
      <c r="AD20" s="57" t="s">
        <v>3551</v>
      </c>
      <c r="AE20" s="57" t="s">
        <v>3552</v>
      </c>
      <c r="AF20" s="57" t="s">
        <v>3543</v>
      </c>
      <c r="AG20" s="57" t="s">
        <v>3545</v>
      </c>
      <c r="AH20" s="57" t="s">
        <v>3544</v>
      </c>
      <c r="AI20" s="57" t="s">
        <v>3553</v>
      </c>
      <c r="AJ20" s="57" t="s">
        <v>3554</v>
      </c>
      <c r="AK20" s="57" t="s">
        <v>3555</v>
      </c>
      <c r="AL20" s="20"/>
      <c r="AM20" s="114"/>
      <c r="AN20" s="114"/>
      <c r="AO20" s="114"/>
      <c r="AP20" s="114"/>
      <c r="AQ20" s="114"/>
      <c r="AR20" s="114"/>
      <c r="AS20" s="114"/>
      <c r="AT20" s="114"/>
      <c r="AU20" s="114"/>
      <c r="AV20" s="114"/>
      <c r="AW20" s="114"/>
      <c r="AX20" s="114"/>
      <c r="AY20" s="114"/>
      <c r="AZ20" s="114"/>
      <c r="BA20" s="114"/>
      <c r="BB20" s="114"/>
      <c r="BC20" s="114"/>
      <c r="BD20" s="114"/>
      <c r="BE20" s="114"/>
      <c r="BF20" s="114"/>
    </row>
    <row r="21" ht="60.0" customHeight="1">
      <c r="A21" s="57" t="s">
        <v>3556</v>
      </c>
      <c r="B21" s="57" t="s">
        <v>3556</v>
      </c>
      <c r="C21" s="57" t="s">
        <v>3282</v>
      </c>
      <c r="D21" s="111" t="s">
        <v>48</v>
      </c>
      <c r="E21" s="57" t="s">
        <v>49</v>
      </c>
      <c r="F21" s="57" t="s">
        <v>3557</v>
      </c>
      <c r="G21" s="57" t="s">
        <v>3508</v>
      </c>
      <c r="H21" s="22">
        <v>43979.0</v>
      </c>
      <c r="I21" s="22">
        <f>'17020 SAI'!$H21+'17025 SAL'!$AN$1</f>
        <v>45439</v>
      </c>
      <c r="J21" s="22">
        <v>40297.0</v>
      </c>
      <c r="K21" s="57" t="s">
        <v>3558</v>
      </c>
      <c r="L21" s="57" t="s">
        <v>3491</v>
      </c>
      <c r="M21" s="112" t="s">
        <v>3559</v>
      </c>
      <c r="N21" s="57" t="s">
        <v>3560</v>
      </c>
      <c r="O21" s="57" t="s">
        <v>3493</v>
      </c>
      <c r="P21" s="57" t="s">
        <v>3493</v>
      </c>
      <c r="Q21" s="57" t="s">
        <v>55</v>
      </c>
      <c r="R21" s="57" t="s">
        <v>3495</v>
      </c>
      <c r="S21" s="57" t="s">
        <v>979</v>
      </c>
      <c r="T21" s="57" t="s">
        <v>3561</v>
      </c>
      <c r="U21" s="57" t="s">
        <v>3562</v>
      </c>
      <c r="V21" s="57" t="s">
        <v>3563</v>
      </c>
      <c r="W21" s="57" t="s">
        <v>3564</v>
      </c>
      <c r="X21" s="57" t="s">
        <v>62</v>
      </c>
      <c r="Y21" s="57" t="s">
        <v>63</v>
      </c>
      <c r="Z21" s="57" t="s">
        <v>411</v>
      </c>
      <c r="AA21" s="57" t="s">
        <v>3499</v>
      </c>
      <c r="AB21" s="57"/>
      <c r="AC21" s="57" t="s">
        <v>3565</v>
      </c>
      <c r="AD21" s="57" t="s">
        <v>3491</v>
      </c>
      <c r="AE21" s="57" t="s">
        <v>3556</v>
      </c>
      <c r="AF21" s="57" t="s">
        <v>3493</v>
      </c>
      <c r="AG21" s="57" t="s">
        <v>3499</v>
      </c>
      <c r="AH21" s="57" t="s">
        <v>3493</v>
      </c>
      <c r="AI21" s="57" t="s">
        <v>3559</v>
      </c>
      <c r="AJ21" s="57" t="s">
        <v>3566</v>
      </c>
      <c r="AK21" s="57" t="s">
        <v>3556</v>
      </c>
      <c r="AL21" s="20" t="s">
        <v>3505</v>
      </c>
      <c r="AM21" s="114"/>
      <c r="AN21" s="114"/>
      <c r="AO21" s="114"/>
      <c r="AP21" s="114"/>
      <c r="AQ21" s="114"/>
      <c r="AR21" s="114"/>
      <c r="AS21" s="114"/>
      <c r="AT21" s="114"/>
      <c r="AU21" s="114"/>
      <c r="AV21" s="114"/>
      <c r="AW21" s="114"/>
      <c r="AX21" s="114"/>
      <c r="AY21" s="114"/>
      <c r="AZ21" s="114"/>
      <c r="BA21" s="114"/>
      <c r="BB21" s="114"/>
      <c r="BC21" s="114"/>
      <c r="BD21" s="114"/>
      <c r="BE21" s="114"/>
      <c r="BF21" s="114"/>
    </row>
    <row r="22" ht="60.0" customHeight="1">
      <c r="A22" s="57" t="s">
        <v>3567</v>
      </c>
      <c r="B22" s="57" t="s">
        <v>3568</v>
      </c>
      <c r="C22" s="57" t="s">
        <v>3282</v>
      </c>
      <c r="D22" s="111" t="s">
        <v>48</v>
      </c>
      <c r="E22" s="57" t="s">
        <v>49</v>
      </c>
      <c r="F22" s="57" t="s">
        <v>3569</v>
      </c>
      <c r="G22" s="57" t="s">
        <v>3525</v>
      </c>
      <c r="H22" s="22">
        <v>45194.0</v>
      </c>
      <c r="I22" s="22">
        <f>'17020 SAI'!$H22+'17025 SAL'!$AN$1</f>
        <v>46654</v>
      </c>
      <c r="J22" s="22">
        <v>40297.0</v>
      </c>
      <c r="K22" s="57" t="s">
        <v>3570</v>
      </c>
      <c r="L22" s="57" t="s">
        <v>3571</v>
      </c>
      <c r="M22" s="57" t="s">
        <v>3572</v>
      </c>
      <c r="N22" s="112" t="s">
        <v>3573</v>
      </c>
      <c r="O22" s="57" t="s">
        <v>3574</v>
      </c>
      <c r="P22" s="57" t="s">
        <v>3575</v>
      </c>
      <c r="Q22" s="57" t="s">
        <v>55</v>
      </c>
      <c r="R22" s="57" t="s">
        <v>3576</v>
      </c>
      <c r="S22" s="57" t="s">
        <v>979</v>
      </c>
      <c r="T22" s="57" t="s">
        <v>3577</v>
      </c>
      <c r="U22" s="57" t="s">
        <v>3578</v>
      </c>
      <c r="V22" s="57" t="s">
        <v>3579</v>
      </c>
      <c r="W22" s="57" t="s">
        <v>3580</v>
      </c>
      <c r="X22" s="57" t="s">
        <v>62</v>
      </c>
      <c r="Y22" s="57" t="s">
        <v>63</v>
      </c>
      <c r="Z22" s="57" t="s">
        <v>3581</v>
      </c>
      <c r="AA22" s="57" t="s">
        <v>3582</v>
      </c>
      <c r="AB22" s="57"/>
      <c r="AC22" s="57" t="s">
        <v>3583</v>
      </c>
      <c r="AD22" s="57" t="s">
        <v>3584</v>
      </c>
      <c r="AE22" s="57" t="s">
        <v>3579</v>
      </c>
      <c r="AF22" s="57" t="s">
        <v>3585</v>
      </c>
      <c r="AG22" s="57" t="s">
        <v>3586</v>
      </c>
      <c r="AH22" s="57" t="s">
        <v>3585</v>
      </c>
      <c r="AI22" s="57" t="s">
        <v>3587</v>
      </c>
      <c r="AJ22" s="57" t="s">
        <v>3588</v>
      </c>
      <c r="AK22" s="57" t="s">
        <v>3567</v>
      </c>
      <c r="AL22" s="20"/>
      <c r="AM22" s="114"/>
      <c r="AN22" s="114"/>
      <c r="AO22" s="114"/>
      <c r="AP22" s="114"/>
      <c r="AQ22" s="114"/>
      <c r="AR22" s="114"/>
      <c r="AS22" s="114"/>
      <c r="AT22" s="114"/>
      <c r="AU22" s="114"/>
      <c r="AV22" s="114"/>
      <c r="AW22" s="114"/>
      <c r="AX22" s="114"/>
      <c r="AY22" s="114"/>
      <c r="AZ22" s="114"/>
      <c r="BA22" s="114"/>
      <c r="BB22" s="114"/>
      <c r="BC22" s="114"/>
      <c r="BD22" s="114"/>
      <c r="BE22" s="114"/>
      <c r="BF22" s="114"/>
    </row>
    <row r="23" ht="60.0" customHeight="1">
      <c r="A23" s="57" t="s">
        <v>3589</v>
      </c>
      <c r="B23" s="57" t="s">
        <v>3590</v>
      </c>
      <c r="C23" s="57" t="s">
        <v>3282</v>
      </c>
      <c r="D23" s="111" t="s">
        <v>48</v>
      </c>
      <c r="E23" s="57" t="s">
        <v>49</v>
      </c>
      <c r="F23" s="57" t="s">
        <v>3591</v>
      </c>
      <c r="G23" s="57" t="s">
        <v>3539</v>
      </c>
      <c r="H23" s="22">
        <v>45391.0</v>
      </c>
      <c r="I23" s="22">
        <f>'17020 SAI'!$H23+'17025 SAL'!$AN$1</f>
        <v>46851</v>
      </c>
      <c r="J23" s="22">
        <v>40323.0</v>
      </c>
      <c r="K23" s="57" t="s">
        <v>3592</v>
      </c>
      <c r="L23" s="57" t="s">
        <v>3593</v>
      </c>
      <c r="M23" s="113" t="s">
        <v>3594</v>
      </c>
      <c r="N23" s="112" t="s">
        <v>3595</v>
      </c>
      <c r="O23" s="57" t="s">
        <v>3596</v>
      </c>
      <c r="P23" s="57" t="s">
        <v>3597</v>
      </c>
      <c r="Q23" s="57" t="s">
        <v>55</v>
      </c>
      <c r="R23" s="57" t="s">
        <v>3598</v>
      </c>
      <c r="S23" s="57" t="s">
        <v>979</v>
      </c>
      <c r="T23" s="57" t="s">
        <v>3599</v>
      </c>
      <c r="U23" s="57" t="s">
        <v>324</v>
      </c>
      <c r="V23" s="57" t="s">
        <v>3593</v>
      </c>
      <c r="W23" s="57" t="s">
        <v>3600</v>
      </c>
      <c r="X23" s="57" t="s">
        <v>62</v>
      </c>
      <c r="Y23" s="57" t="s">
        <v>63</v>
      </c>
      <c r="Z23" s="57" t="s">
        <v>411</v>
      </c>
      <c r="AA23" s="57" t="s">
        <v>3598</v>
      </c>
      <c r="AB23" s="57"/>
      <c r="AC23" s="57" t="s">
        <v>3601</v>
      </c>
      <c r="AD23" s="57" t="s">
        <v>3593</v>
      </c>
      <c r="AE23" s="57" t="s">
        <v>3593</v>
      </c>
      <c r="AF23" s="57" t="s">
        <v>3602</v>
      </c>
      <c r="AG23" s="57" t="s">
        <v>3598</v>
      </c>
      <c r="AH23" s="57" t="s">
        <v>3603</v>
      </c>
      <c r="AI23" s="113" t="s">
        <v>3604</v>
      </c>
      <c r="AJ23" s="57" t="s">
        <v>3605</v>
      </c>
      <c r="AK23" s="57" t="s">
        <v>3606</v>
      </c>
      <c r="AL23" s="20" t="s">
        <v>3607</v>
      </c>
      <c r="AM23" s="114"/>
      <c r="AN23" s="114"/>
      <c r="AO23" s="114"/>
      <c r="AP23" s="114"/>
      <c r="AQ23" s="114"/>
      <c r="AR23" s="114"/>
      <c r="AS23" s="114"/>
      <c r="AT23" s="114"/>
      <c r="AU23" s="114"/>
      <c r="AV23" s="114"/>
      <c r="AW23" s="114"/>
      <c r="AX23" s="114"/>
      <c r="AY23" s="114"/>
      <c r="AZ23" s="114"/>
      <c r="BA23" s="114"/>
      <c r="BB23" s="114"/>
      <c r="BC23" s="114"/>
      <c r="BD23" s="114"/>
      <c r="BE23" s="114"/>
      <c r="BF23" s="114"/>
    </row>
    <row r="24" ht="60.0" customHeight="1">
      <c r="A24" s="57" t="s">
        <v>3608</v>
      </c>
      <c r="B24" s="57" t="s">
        <v>3609</v>
      </c>
      <c r="C24" s="57" t="s">
        <v>3282</v>
      </c>
      <c r="D24" s="111" t="s">
        <v>48</v>
      </c>
      <c r="E24" s="57" t="s">
        <v>49</v>
      </c>
      <c r="F24" s="57" t="s">
        <v>3610</v>
      </c>
      <c r="G24" s="57" t="s">
        <v>3557</v>
      </c>
      <c r="H24" s="22">
        <v>45534.0</v>
      </c>
      <c r="I24" s="22" t="s">
        <v>76</v>
      </c>
      <c r="J24" s="22">
        <v>40344.0</v>
      </c>
      <c r="K24" s="57" t="s">
        <v>3611</v>
      </c>
      <c r="L24" s="57" t="s">
        <v>3612</v>
      </c>
      <c r="M24" s="112" t="s">
        <v>3613</v>
      </c>
      <c r="N24" s="112" t="s">
        <v>3614</v>
      </c>
      <c r="O24" s="57" t="s">
        <v>3615</v>
      </c>
      <c r="P24" s="57" t="s">
        <v>3616</v>
      </c>
      <c r="Q24" s="57" t="s">
        <v>55</v>
      </c>
      <c r="R24" s="57" t="s">
        <v>3617</v>
      </c>
      <c r="S24" s="57" t="s">
        <v>979</v>
      </c>
      <c r="T24" s="57" t="s">
        <v>3618</v>
      </c>
      <c r="U24" s="57" t="s">
        <v>324</v>
      </c>
      <c r="V24" s="57" t="s">
        <v>3619</v>
      </c>
      <c r="W24" s="57" t="s">
        <v>3620</v>
      </c>
      <c r="X24" s="57" t="s">
        <v>346</v>
      </c>
      <c r="Y24" s="57" t="s">
        <v>264</v>
      </c>
      <c r="Z24" s="57" t="s">
        <v>3621</v>
      </c>
      <c r="AA24" s="57" t="s">
        <v>3622</v>
      </c>
      <c r="AB24" s="57"/>
      <c r="AC24" s="57" t="s">
        <v>3623</v>
      </c>
      <c r="AD24" s="57" t="s">
        <v>3624</v>
      </c>
      <c r="AE24" s="57" t="s">
        <v>3624</v>
      </c>
      <c r="AF24" s="57" t="s">
        <v>3625</v>
      </c>
      <c r="AG24" s="57" t="s">
        <v>3622</v>
      </c>
      <c r="AH24" s="57" t="s">
        <v>3616</v>
      </c>
      <c r="AI24" s="112" t="str">
        <f>HYPERLINK("mailto:chaconlawyer@gmail.com","chaconlawyer@gmail.com")</f>
        <v>chaconlawyer@gmail.com</v>
      </c>
      <c r="AJ24" s="57" t="s">
        <v>3626</v>
      </c>
      <c r="AK24" s="57" t="s">
        <v>3608</v>
      </c>
      <c r="AL24" s="20" t="s">
        <v>3505</v>
      </c>
      <c r="AM24" s="114"/>
      <c r="AN24" s="114"/>
      <c r="AO24" s="114"/>
      <c r="AP24" s="114"/>
      <c r="AQ24" s="114"/>
      <c r="AR24" s="114"/>
      <c r="AS24" s="114"/>
      <c r="AT24" s="114"/>
      <c r="AU24" s="114"/>
      <c r="AV24" s="114"/>
      <c r="AW24" s="114"/>
      <c r="AX24" s="114"/>
      <c r="AY24" s="114"/>
      <c r="AZ24" s="114"/>
      <c r="BA24" s="114"/>
      <c r="BB24" s="114"/>
      <c r="BC24" s="114"/>
      <c r="BD24" s="114"/>
      <c r="BE24" s="114"/>
      <c r="BF24" s="114"/>
    </row>
    <row r="25" ht="60.0" customHeight="1">
      <c r="A25" s="57" t="s">
        <v>3627</v>
      </c>
      <c r="B25" s="57" t="s">
        <v>3628</v>
      </c>
      <c r="C25" s="57" t="s">
        <v>3282</v>
      </c>
      <c r="D25" s="111" t="s">
        <v>213</v>
      </c>
      <c r="E25" s="57" t="s">
        <v>49</v>
      </c>
      <c r="F25" s="57" t="s">
        <v>3629</v>
      </c>
      <c r="G25" s="57" t="s">
        <v>3569</v>
      </c>
      <c r="H25" s="22">
        <v>43544.0</v>
      </c>
      <c r="I25" s="22">
        <f>'17020 SAI'!$H25+'17025 SAL'!$AN$1</f>
        <v>45004</v>
      </c>
      <c r="J25" s="22">
        <v>40344.0</v>
      </c>
      <c r="K25" s="57" t="s">
        <v>3630</v>
      </c>
      <c r="L25" s="57" t="s">
        <v>3631</v>
      </c>
      <c r="M25" s="112" t="s">
        <v>3632</v>
      </c>
      <c r="N25" s="112" t="s">
        <v>2166</v>
      </c>
      <c r="O25" s="57" t="s">
        <v>2167</v>
      </c>
      <c r="P25" s="57" t="s">
        <v>3633</v>
      </c>
      <c r="Q25" s="57" t="s">
        <v>55</v>
      </c>
      <c r="R25" s="57" t="s">
        <v>2169</v>
      </c>
      <c r="S25" s="57" t="s">
        <v>104</v>
      </c>
      <c r="T25" s="57" t="s">
        <v>2170</v>
      </c>
      <c r="U25" s="57" t="s">
        <v>324</v>
      </c>
      <c r="V25" s="57" t="s">
        <v>3634</v>
      </c>
      <c r="W25" s="57" t="s">
        <v>3635</v>
      </c>
      <c r="X25" s="57" t="s">
        <v>3462</v>
      </c>
      <c r="Y25" s="57" t="s">
        <v>3463</v>
      </c>
      <c r="Z25" s="57" t="s">
        <v>3464</v>
      </c>
      <c r="AA25" s="57" t="s">
        <v>3636</v>
      </c>
      <c r="AB25" s="57"/>
      <c r="AC25" s="57" t="s">
        <v>3465</v>
      </c>
      <c r="AD25" s="57" t="s">
        <v>3634</v>
      </c>
      <c r="AE25" s="57" t="s">
        <v>3637</v>
      </c>
      <c r="AF25" s="57" t="s">
        <v>3638</v>
      </c>
      <c r="AG25" s="57" t="s">
        <v>3639</v>
      </c>
      <c r="AH25" s="57" t="s">
        <v>3640</v>
      </c>
      <c r="AI25" s="57" t="s">
        <v>3641</v>
      </c>
      <c r="AJ25" s="57" t="s">
        <v>2176</v>
      </c>
      <c r="AK25" s="57" t="s">
        <v>3642</v>
      </c>
      <c r="AL25" s="20" t="s">
        <v>3643</v>
      </c>
    </row>
    <row r="26" ht="60.0" customHeight="1">
      <c r="A26" s="57" t="s">
        <v>3644</v>
      </c>
      <c r="B26" s="57"/>
      <c r="C26" s="57" t="s">
        <v>3282</v>
      </c>
      <c r="D26" s="111" t="s">
        <v>2027</v>
      </c>
      <c r="E26" s="57" t="s">
        <v>49</v>
      </c>
      <c r="F26" s="57" t="s">
        <v>3645</v>
      </c>
      <c r="G26" s="57"/>
      <c r="H26" s="22"/>
      <c r="I26" s="22">
        <f>'17020 SAI'!$H26+'17025 SAL'!$AN$1</f>
        <v>1460</v>
      </c>
      <c r="J26" s="22"/>
      <c r="K26" s="57" t="s">
        <v>730</v>
      </c>
      <c r="L26" s="57" t="s">
        <v>3646</v>
      </c>
      <c r="M26" s="57" t="s">
        <v>3647</v>
      </c>
      <c r="N26" s="57"/>
      <c r="O26" s="57" t="s">
        <v>3648</v>
      </c>
      <c r="P26" s="57" t="s">
        <v>3648</v>
      </c>
      <c r="Q26" s="57" t="s">
        <v>55</v>
      </c>
      <c r="R26" s="57" t="s">
        <v>3649</v>
      </c>
      <c r="S26" s="57"/>
      <c r="T26" s="57" t="s">
        <v>3650</v>
      </c>
      <c r="U26" s="57"/>
      <c r="V26" s="57"/>
      <c r="W26" s="57"/>
      <c r="X26" s="57"/>
      <c r="Y26" s="57"/>
      <c r="Z26" s="57"/>
      <c r="AA26" s="57"/>
      <c r="AB26" s="57"/>
      <c r="AC26" s="57"/>
      <c r="AD26" s="57"/>
      <c r="AE26" s="57"/>
      <c r="AF26" s="57"/>
      <c r="AG26" s="57"/>
      <c r="AH26" s="57"/>
      <c r="AI26" s="57"/>
      <c r="AJ26" s="57"/>
      <c r="AK26" s="57" t="s">
        <v>3644</v>
      </c>
      <c r="AL26" s="20"/>
    </row>
    <row r="27" ht="60.0" customHeight="1">
      <c r="A27" s="57" t="s">
        <v>3651</v>
      </c>
      <c r="B27" s="57" t="s">
        <v>3651</v>
      </c>
      <c r="C27" s="57" t="s">
        <v>3282</v>
      </c>
      <c r="D27" s="111" t="s">
        <v>48</v>
      </c>
      <c r="E27" s="57" t="s">
        <v>49</v>
      </c>
      <c r="F27" s="57" t="s">
        <v>3652</v>
      </c>
      <c r="G27" s="57" t="s">
        <v>3652</v>
      </c>
      <c r="H27" s="22">
        <v>45378.0</v>
      </c>
      <c r="I27" s="22">
        <f>'17020 SAI'!$H27+'17025 SAL'!$AN$1</f>
        <v>46838</v>
      </c>
      <c r="J27" s="22">
        <v>40911.0</v>
      </c>
      <c r="K27" s="57" t="s">
        <v>3653</v>
      </c>
      <c r="L27" s="57" t="s">
        <v>296</v>
      </c>
      <c r="M27" s="112" t="s">
        <v>297</v>
      </c>
      <c r="N27" s="112" t="s">
        <v>298</v>
      </c>
      <c r="O27" s="57" t="s">
        <v>299</v>
      </c>
      <c r="P27" s="57" t="s">
        <v>300</v>
      </c>
      <c r="Q27" s="57" t="s">
        <v>55</v>
      </c>
      <c r="R27" s="57" t="s">
        <v>3654</v>
      </c>
      <c r="S27" s="57" t="s">
        <v>121</v>
      </c>
      <c r="T27" s="57" t="s">
        <v>302</v>
      </c>
      <c r="U27" s="57" t="s">
        <v>3655</v>
      </c>
      <c r="V27" s="57" t="s">
        <v>296</v>
      </c>
      <c r="W27" s="57" t="s">
        <v>303</v>
      </c>
      <c r="X27" s="57" t="s">
        <v>304</v>
      </c>
      <c r="Y27" s="57" t="s">
        <v>63</v>
      </c>
      <c r="Z27" s="57" t="s">
        <v>305</v>
      </c>
      <c r="AA27" s="57" t="s">
        <v>3656</v>
      </c>
      <c r="AB27" s="57"/>
      <c r="AC27" s="57" t="s">
        <v>306</v>
      </c>
      <c r="AD27" s="57" t="s">
        <v>307</v>
      </c>
      <c r="AE27" s="57" t="s">
        <v>291</v>
      </c>
      <c r="AF27" s="57" t="s">
        <v>308</v>
      </c>
      <c r="AG27" s="57" t="s">
        <v>301</v>
      </c>
      <c r="AH27" s="57" t="s">
        <v>300</v>
      </c>
      <c r="AI27" s="57" t="s">
        <v>3657</v>
      </c>
      <c r="AJ27" s="57" t="s">
        <v>309</v>
      </c>
      <c r="AK27" s="57" t="s">
        <v>3651</v>
      </c>
      <c r="AL27" s="20" t="s">
        <v>311</v>
      </c>
      <c r="AM27" s="114"/>
      <c r="AN27" s="114"/>
      <c r="AO27" s="114"/>
      <c r="AP27" s="114"/>
      <c r="AQ27" s="114"/>
      <c r="AR27" s="114"/>
      <c r="AS27" s="114"/>
      <c r="AT27" s="114"/>
      <c r="AU27" s="114"/>
      <c r="AV27" s="114"/>
      <c r="AW27" s="114"/>
      <c r="AX27" s="114"/>
      <c r="AY27" s="114"/>
      <c r="AZ27" s="114"/>
      <c r="BA27" s="114"/>
      <c r="BB27" s="114"/>
      <c r="BC27" s="114"/>
      <c r="BD27" s="114"/>
      <c r="BE27" s="114"/>
      <c r="BF27" s="114"/>
    </row>
    <row r="28" ht="60.0" customHeight="1">
      <c r="A28" s="57" t="s">
        <v>3658</v>
      </c>
      <c r="B28" s="57"/>
      <c r="C28" s="57" t="s">
        <v>3282</v>
      </c>
      <c r="D28" s="111" t="s">
        <v>2027</v>
      </c>
      <c r="E28" s="57" t="s">
        <v>49</v>
      </c>
      <c r="F28" s="57" t="s">
        <v>3659</v>
      </c>
      <c r="G28" s="57"/>
      <c r="H28" s="22"/>
      <c r="I28" s="22">
        <f>'17020 SAI'!$H28+'17025 SAL'!$AN$1</f>
        <v>1460</v>
      </c>
      <c r="J28" s="22"/>
      <c r="K28" s="57" t="s">
        <v>730</v>
      </c>
      <c r="L28" s="57" t="s">
        <v>3660</v>
      </c>
      <c r="M28" s="57" t="s">
        <v>3661</v>
      </c>
      <c r="N28" s="57"/>
      <c r="O28" s="57" t="s">
        <v>3662</v>
      </c>
      <c r="P28" s="57" t="s">
        <v>54</v>
      </c>
      <c r="Q28" s="57" t="s">
        <v>55</v>
      </c>
      <c r="R28" s="57" t="s">
        <v>3663</v>
      </c>
      <c r="S28" s="57"/>
      <c r="T28" s="57" t="s">
        <v>3664</v>
      </c>
      <c r="U28" s="57"/>
      <c r="V28" s="57"/>
      <c r="W28" s="57"/>
      <c r="X28" s="57"/>
      <c r="Y28" s="57"/>
      <c r="Z28" s="57"/>
      <c r="AA28" s="57"/>
      <c r="AB28" s="57"/>
      <c r="AC28" s="57"/>
      <c r="AD28" s="57"/>
      <c r="AE28" s="57"/>
      <c r="AF28" s="57"/>
      <c r="AG28" s="57"/>
      <c r="AH28" s="57"/>
      <c r="AI28" s="57"/>
      <c r="AJ28" s="57"/>
      <c r="AK28" s="57" t="s">
        <v>3665</v>
      </c>
      <c r="AL28" s="20"/>
    </row>
    <row r="29" ht="60.0" customHeight="1">
      <c r="A29" s="57" t="s">
        <v>3666</v>
      </c>
      <c r="B29" s="57"/>
      <c r="C29" s="57" t="s">
        <v>3282</v>
      </c>
      <c r="D29" s="111" t="s">
        <v>2027</v>
      </c>
      <c r="E29" s="57" t="s">
        <v>49</v>
      </c>
      <c r="F29" s="57" t="s">
        <v>3667</v>
      </c>
      <c r="G29" s="57"/>
      <c r="H29" s="22"/>
      <c r="I29" s="22">
        <f>'17020 SAI'!$H29+'17025 SAL'!$AN$1</f>
        <v>1460</v>
      </c>
      <c r="J29" s="22"/>
      <c r="K29" s="57" t="s">
        <v>730</v>
      </c>
      <c r="L29" s="57" t="s">
        <v>3668</v>
      </c>
      <c r="M29" s="57" t="s">
        <v>3669</v>
      </c>
      <c r="N29" s="57"/>
      <c r="O29" s="57" t="s">
        <v>3670</v>
      </c>
      <c r="P29" s="57" t="s">
        <v>3670</v>
      </c>
      <c r="Q29" s="57" t="s">
        <v>55</v>
      </c>
      <c r="R29" s="57" t="s">
        <v>3671</v>
      </c>
      <c r="S29" s="57"/>
      <c r="T29" s="57" t="s">
        <v>3672</v>
      </c>
      <c r="U29" s="57"/>
      <c r="V29" s="57"/>
      <c r="W29" s="57"/>
      <c r="X29" s="57"/>
      <c r="Y29" s="57"/>
      <c r="Z29" s="57"/>
      <c r="AA29" s="57"/>
      <c r="AB29" s="57"/>
      <c r="AC29" s="57"/>
      <c r="AD29" s="57"/>
      <c r="AE29" s="57"/>
      <c r="AF29" s="57"/>
      <c r="AG29" s="57"/>
      <c r="AH29" s="57"/>
      <c r="AI29" s="57"/>
      <c r="AJ29" s="57"/>
      <c r="AK29" s="57" t="s">
        <v>3673</v>
      </c>
      <c r="AL29" s="20"/>
    </row>
    <row r="30" ht="60.0" customHeight="1">
      <c r="A30" s="57" t="s">
        <v>3674</v>
      </c>
      <c r="B30" s="57" t="s">
        <v>3675</v>
      </c>
      <c r="C30" s="57" t="s">
        <v>3282</v>
      </c>
      <c r="D30" s="111" t="s">
        <v>48</v>
      </c>
      <c r="E30" s="57" t="s">
        <v>49</v>
      </c>
      <c r="F30" s="57" t="s">
        <v>3676</v>
      </c>
      <c r="G30" s="57" t="s">
        <v>3610</v>
      </c>
      <c r="H30" s="22">
        <v>45203.0</v>
      </c>
      <c r="I30" s="22">
        <f>'17020 SAI'!$H30+'17025 SAL'!$AN$1</f>
        <v>46663</v>
      </c>
      <c r="J30" s="22">
        <v>40582.0</v>
      </c>
      <c r="K30" s="57" t="s">
        <v>3677</v>
      </c>
      <c r="L30" s="57" t="s">
        <v>785</v>
      </c>
      <c r="M30" s="112" t="s">
        <v>787</v>
      </c>
      <c r="N30" s="112" t="s">
        <v>3678</v>
      </c>
      <c r="O30" s="57" t="s">
        <v>788</v>
      </c>
      <c r="P30" s="57" t="s">
        <v>789</v>
      </c>
      <c r="Q30" s="57" t="s">
        <v>55</v>
      </c>
      <c r="R30" s="57" t="s">
        <v>3679</v>
      </c>
      <c r="S30" s="57" t="s">
        <v>57</v>
      </c>
      <c r="T30" s="57" t="s">
        <v>3680</v>
      </c>
      <c r="U30" s="57" t="s">
        <v>3681</v>
      </c>
      <c r="V30" s="57" t="s">
        <v>792</v>
      </c>
      <c r="W30" s="57">
        <v>1.07400155E8</v>
      </c>
      <c r="X30" s="57" t="s">
        <v>62</v>
      </c>
      <c r="Y30" s="57" t="s">
        <v>63</v>
      </c>
      <c r="Z30" s="57" t="s">
        <v>793</v>
      </c>
      <c r="AA30" s="57" t="s">
        <v>790</v>
      </c>
      <c r="AB30" s="57"/>
      <c r="AC30" s="57" t="s">
        <v>794</v>
      </c>
      <c r="AD30" s="57" t="s">
        <v>795</v>
      </c>
      <c r="AE30" s="57" t="s">
        <v>796</v>
      </c>
      <c r="AF30" s="57" t="s">
        <v>797</v>
      </c>
      <c r="AG30" s="57" t="s">
        <v>790</v>
      </c>
      <c r="AH30" s="57" t="s">
        <v>789</v>
      </c>
      <c r="AI30" s="57" t="s">
        <v>3682</v>
      </c>
      <c r="AJ30" s="57" t="s">
        <v>798</v>
      </c>
      <c r="AK30" s="57" t="s">
        <v>3683</v>
      </c>
      <c r="AL30" s="20"/>
      <c r="AM30" s="114"/>
      <c r="AN30" s="114"/>
      <c r="AO30" s="114"/>
      <c r="AP30" s="114"/>
      <c r="AQ30" s="114"/>
      <c r="AR30" s="114"/>
      <c r="AS30" s="114"/>
      <c r="AT30" s="114"/>
      <c r="AU30" s="114"/>
      <c r="AV30" s="114"/>
      <c r="AW30" s="114"/>
      <c r="AX30" s="114"/>
      <c r="AY30" s="114"/>
      <c r="AZ30" s="114"/>
      <c r="BA30" s="114"/>
      <c r="BB30" s="114"/>
      <c r="BC30" s="114"/>
      <c r="BD30" s="114"/>
      <c r="BE30" s="114"/>
      <c r="BF30" s="114"/>
    </row>
    <row r="31" ht="60.0" customHeight="1">
      <c r="A31" s="57" t="s">
        <v>3684</v>
      </c>
      <c r="B31" s="57" t="s">
        <v>821</v>
      </c>
      <c r="C31" s="57" t="s">
        <v>3282</v>
      </c>
      <c r="D31" s="111" t="s">
        <v>213</v>
      </c>
      <c r="E31" s="57" t="s">
        <v>49</v>
      </c>
      <c r="F31" s="57" t="s">
        <v>3685</v>
      </c>
      <c r="G31" s="57" t="s">
        <v>3667</v>
      </c>
      <c r="H31" s="22">
        <v>43539.0</v>
      </c>
      <c r="I31" s="22">
        <f>'17020 SAI'!$H31+'17025 SAL'!$AN$1</f>
        <v>44999</v>
      </c>
      <c r="J31" s="22">
        <v>41296.0</v>
      </c>
      <c r="K31" s="57" t="s">
        <v>730</v>
      </c>
      <c r="L31" s="57" t="s">
        <v>824</v>
      </c>
      <c r="M31" s="112" t="s">
        <v>825</v>
      </c>
      <c r="N31" s="57" t="s">
        <v>3686</v>
      </c>
      <c r="O31" s="57" t="s">
        <v>836</v>
      </c>
      <c r="P31" s="57" t="s">
        <v>828</v>
      </c>
      <c r="Q31" s="57" t="s">
        <v>55</v>
      </c>
      <c r="R31" s="57" t="s">
        <v>3687</v>
      </c>
      <c r="S31" s="57" t="s">
        <v>57</v>
      </c>
      <c r="T31" s="57" t="s">
        <v>830</v>
      </c>
      <c r="U31" s="57" t="s">
        <v>324</v>
      </c>
      <c r="V31" s="57" t="s">
        <v>831</v>
      </c>
      <c r="W31" s="57" t="s">
        <v>832</v>
      </c>
      <c r="X31" s="57" t="s">
        <v>62</v>
      </c>
      <c r="Y31" s="57" t="s">
        <v>63</v>
      </c>
      <c r="Z31" s="57" t="s">
        <v>411</v>
      </c>
      <c r="AA31" s="57" t="s">
        <v>3688</v>
      </c>
      <c r="AB31" s="57"/>
      <c r="AC31" s="57" t="s">
        <v>285</v>
      </c>
      <c r="AD31" s="57"/>
      <c r="AE31" s="57" t="s">
        <v>3689</v>
      </c>
      <c r="AF31" s="57" t="s">
        <v>836</v>
      </c>
      <c r="AG31" s="57" t="s">
        <v>3688</v>
      </c>
      <c r="AH31" s="57" t="s">
        <v>828</v>
      </c>
      <c r="AI31" s="57" t="s">
        <v>837</v>
      </c>
      <c r="AJ31" s="57" t="s">
        <v>838</v>
      </c>
      <c r="AK31" s="57" t="s">
        <v>3690</v>
      </c>
      <c r="AL31" s="20" t="s">
        <v>3691</v>
      </c>
      <c r="AM31" s="114"/>
      <c r="AN31" s="114"/>
      <c r="AO31" s="114"/>
      <c r="AP31" s="114"/>
      <c r="AQ31" s="114"/>
      <c r="AR31" s="114"/>
      <c r="AS31" s="114"/>
      <c r="AT31" s="114"/>
      <c r="AU31" s="114"/>
      <c r="AV31" s="114"/>
      <c r="AW31" s="114"/>
      <c r="AX31" s="114"/>
      <c r="AY31" s="114"/>
      <c r="AZ31" s="114"/>
      <c r="BA31" s="114"/>
      <c r="BB31" s="114"/>
      <c r="BC31" s="114"/>
      <c r="BD31" s="114"/>
      <c r="BE31" s="114"/>
      <c r="BF31" s="114"/>
    </row>
    <row r="32" ht="60.0" customHeight="1">
      <c r="A32" s="57" t="s">
        <v>3692</v>
      </c>
      <c r="B32" s="57" t="s">
        <v>3693</v>
      </c>
      <c r="C32" s="57" t="s">
        <v>3282</v>
      </c>
      <c r="D32" s="111" t="s">
        <v>48</v>
      </c>
      <c r="E32" s="57" t="s">
        <v>49</v>
      </c>
      <c r="F32" s="57" t="s">
        <v>3694</v>
      </c>
      <c r="G32" s="57" t="s">
        <v>3629</v>
      </c>
      <c r="H32" s="22">
        <v>45869.0</v>
      </c>
      <c r="I32" s="22" t="s">
        <v>76</v>
      </c>
      <c r="J32" s="22">
        <v>40807.0</v>
      </c>
      <c r="K32" s="57" t="s">
        <v>730</v>
      </c>
      <c r="L32" s="57" t="s">
        <v>3695</v>
      </c>
      <c r="M32" s="112" t="s">
        <v>234</v>
      </c>
      <c r="N32" s="112" t="s">
        <v>235</v>
      </c>
      <c r="O32" s="57" t="s">
        <v>236</v>
      </c>
      <c r="P32" s="57" t="s">
        <v>237</v>
      </c>
      <c r="Q32" s="57" t="s">
        <v>55</v>
      </c>
      <c r="R32" s="57" t="s">
        <v>3696</v>
      </c>
      <c r="S32" s="57" t="s">
        <v>979</v>
      </c>
      <c r="T32" s="57" t="s">
        <v>3697</v>
      </c>
      <c r="U32" s="57" t="s">
        <v>3698</v>
      </c>
      <c r="V32" s="57" t="s">
        <v>239</v>
      </c>
      <c r="W32" s="57" t="s">
        <v>240</v>
      </c>
      <c r="X32" s="57" t="s">
        <v>62</v>
      </c>
      <c r="Y32" s="57" t="s">
        <v>63</v>
      </c>
      <c r="Z32" s="57" t="s">
        <v>241</v>
      </c>
      <c r="AA32" s="57" t="s">
        <v>242</v>
      </c>
      <c r="AB32" s="57"/>
      <c r="AC32" s="57" t="s">
        <v>243</v>
      </c>
      <c r="AD32" s="57" t="s">
        <v>244</v>
      </c>
      <c r="AE32" s="57" t="s">
        <v>245</v>
      </c>
      <c r="AF32" s="57" t="s">
        <v>246</v>
      </c>
      <c r="AG32" s="57" t="s">
        <v>3699</v>
      </c>
      <c r="AH32" s="57" t="s">
        <v>248</v>
      </c>
      <c r="AI32" s="112" t="s">
        <v>3700</v>
      </c>
      <c r="AJ32" s="57" t="s">
        <v>249</v>
      </c>
      <c r="AK32" s="57" t="s">
        <v>250</v>
      </c>
      <c r="AL32" s="20"/>
      <c r="AM32" s="114"/>
      <c r="AN32" s="114"/>
      <c r="AO32" s="114"/>
      <c r="AP32" s="114"/>
      <c r="AQ32" s="114"/>
      <c r="AR32" s="114"/>
      <c r="AS32" s="114"/>
      <c r="AT32" s="114"/>
      <c r="AU32" s="114"/>
      <c r="AV32" s="114"/>
      <c r="AW32" s="114"/>
      <c r="AX32" s="114"/>
      <c r="AY32" s="114"/>
      <c r="AZ32" s="114"/>
      <c r="BA32" s="114"/>
      <c r="BB32" s="114"/>
      <c r="BC32" s="114"/>
      <c r="BD32" s="114"/>
      <c r="BE32" s="114"/>
      <c r="BF32" s="114"/>
    </row>
    <row r="33" ht="60.0" customHeight="1">
      <c r="A33" s="57" t="s">
        <v>3701</v>
      </c>
      <c r="B33" s="57" t="s">
        <v>3702</v>
      </c>
      <c r="C33" s="57" t="s">
        <v>3282</v>
      </c>
      <c r="D33" s="111" t="s">
        <v>48</v>
      </c>
      <c r="E33" s="57" t="s">
        <v>96</v>
      </c>
      <c r="F33" s="57" t="s">
        <v>3703</v>
      </c>
      <c r="G33" s="57" t="s">
        <v>3645</v>
      </c>
      <c r="H33" s="22">
        <v>45147.0</v>
      </c>
      <c r="I33" s="22">
        <f>'17020 SAI'!$H33+'17025 SAL'!$AN$1</f>
        <v>46607</v>
      </c>
      <c r="J33" s="22">
        <v>40876.0</v>
      </c>
      <c r="K33" s="57" t="s">
        <v>3704</v>
      </c>
      <c r="L33" s="57" t="s">
        <v>3705</v>
      </c>
      <c r="M33" s="26" t="s">
        <v>471</v>
      </c>
      <c r="N33" s="31" t="s">
        <v>472</v>
      </c>
      <c r="O33" s="57" t="s">
        <v>473</v>
      </c>
      <c r="P33" s="57" t="s">
        <v>474</v>
      </c>
      <c r="Q33" s="57" t="s">
        <v>55</v>
      </c>
      <c r="R33" s="57" t="s">
        <v>3706</v>
      </c>
      <c r="S33" s="57" t="s">
        <v>57</v>
      </c>
      <c r="T33" s="57" t="s">
        <v>3707</v>
      </c>
      <c r="U33" s="112" t="str">
        <f>HYPERLINK("http://celeq.ucr.ac.cr;/","http://celeq.ucr.ac.cr;/")</f>
        <v>http://celeq.ucr.ac.cr;/</v>
      </c>
      <c r="V33" s="20" t="s">
        <v>144</v>
      </c>
      <c r="W33" s="20" t="s">
        <v>145</v>
      </c>
      <c r="X33" s="20" t="s">
        <v>62</v>
      </c>
      <c r="Y33" s="26" t="s">
        <v>63</v>
      </c>
      <c r="Z33" s="20" t="s">
        <v>146</v>
      </c>
      <c r="AA33" s="57" t="s">
        <v>429</v>
      </c>
      <c r="AB33" s="57"/>
      <c r="AC33" s="57" t="s">
        <v>3708</v>
      </c>
      <c r="AD33" s="57" t="s">
        <v>476</v>
      </c>
      <c r="AE33" s="57" t="s">
        <v>477</v>
      </c>
      <c r="AF33" s="57" t="s">
        <v>478</v>
      </c>
      <c r="AG33" s="57" t="s">
        <v>3706</v>
      </c>
      <c r="AH33" s="57" t="s">
        <v>479</v>
      </c>
      <c r="AI33" s="57" t="s">
        <v>3709</v>
      </c>
      <c r="AJ33" s="57" t="s">
        <v>480</v>
      </c>
      <c r="AK33" s="57" t="s">
        <v>153</v>
      </c>
      <c r="AL33" s="20" t="s">
        <v>3710</v>
      </c>
      <c r="AM33" s="114"/>
      <c r="AN33" s="114"/>
      <c r="AO33" s="114"/>
      <c r="AP33" s="114"/>
      <c r="AQ33" s="114"/>
      <c r="AR33" s="114"/>
      <c r="AS33" s="114"/>
      <c r="AT33" s="114"/>
      <c r="AU33" s="114"/>
      <c r="AV33" s="114"/>
      <c r="AW33" s="114"/>
      <c r="AX33" s="114"/>
      <c r="AY33" s="114"/>
      <c r="AZ33" s="114"/>
      <c r="BA33" s="114"/>
      <c r="BB33" s="114"/>
      <c r="BC33" s="114"/>
      <c r="BD33" s="114"/>
      <c r="BE33" s="114"/>
      <c r="BF33" s="114"/>
    </row>
    <row r="34" ht="60.0" customHeight="1">
      <c r="A34" s="57" t="s">
        <v>3711</v>
      </c>
      <c r="B34" s="57"/>
      <c r="C34" s="57" t="s">
        <v>3282</v>
      </c>
      <c r="D34" s="111" t="s">
        <v>2027</v>
      </c>
      <c r="E34" s="57" t="s">
        <v>49</v>
      </c>
      <c r="F34" s="57" t="s">
        <v>3712</v>
      </c>
      <c r="G34" s="57"/>
      <c r="H34" s="22"/>
      <c r="I34" s="22">
        <f>'17020 SAI'!$H34+'17025 SAL'!$AN$1</f>
        <v>1460</v>
      </c>
      <c r="J34" s="22"/>
      <c r="K34" s="57" t="s">
        <v>730</v>
      </c>
      <c r="L34" s="57" t="s">
        <v>3713</v>
      </c>
      <c r="M34" s="57" t="s">
        <v>3714</v>
      </c>
      <c r="N34" s="57"/>
      <c r="O34" s="57" t="s">
        <v>3715</v>
      </c>
      <c r="P34" s="57" t="s">
        <v>3716</v>
      </c>
      <c r="Q34" s="57" t="s">
        <v>55</v>
      </c>
      <c r="R34" s="57" t="s">
        <v>3717</v>
      </c>
      <c r="S34" s="57"/>
      <c r="T34" s="57"/>
      <c r="U34" s="57"/>
      <c r="V34" s="57"/>
      <c r="W34" s="57"/>
      <c r="X34" s="57"/>
      <c r="Y34" s="57"/>
      <c r="Z34" s="57"/>
      <c r="AA34" s="57"/>
      <c r="AB34" s="57"/>
      <c r="AC34" s="57"/>
      <c r="AD34" s="57"/>
      <c r="AE34" s="57"/>
      <c r="AF34" s="57"/>
      <c r="AG34" s="57"/>
      <c r="AH34" s="57"/>
      <c r="AI34" s="57"/>
      <c r="AJ34" s="57"/>
      <c r="AK34" s="57" t="s">
        <v>3711</v>
      </c>
      <c r="AL34" s="20"/>
      <c r="AM34" s="115"/>
      <c r="AN34" s="115"/>
      <c r="AO34" s="115"/>
      <c r="AP34" s="115"/>
      <c r="AQ34" s="115"/>
      <c r="AR34" s="115"/>
      <c r="AS34" s="115"/>
      <c r="AT34" s="115"/>
      <c r="AU34" s="115"/>
      <c r="AV34" s="115"/>
      <c r="AW34" s="115"/>
      <c r="AX34" s="115"/>
      <c r="AY34" s="115"/>
      <c r="AZ34" s="115"/>
      <c r="BA34" s="115"/>
      <c r="BB34" s="115"/>
      <c r="BC34" s="115"/>
      <c r="BD34" s="115"/>
      <c r="BE34" s="115"/>
      <c r="BF34" s="115"/>
    </row>
    <row r="35" ht="60.0" customHeight="1">
      <c r="A35" s="57" t="s">
        <v>3718</v>
      </c>
      <c r="B35" s="57"/>
      <c r="C35" s="57" t="s">
        <v>3282</v>
      </c>
      <c r="D35" s="111" t="s">
        <v>2027</v>
      </c>
      <c r="E35" s="57" t="s">
        <v>49</v>
      </c>
      <c r="F35" s="57" t="s">
        <v>3719</v>
      </c>
      <c r="G35" s="57"/>
      <c r="H35" s="22"/>
      <c r="I35" s="22">
        <f>'17020 SAI'!$H35+'17025 SAL'!$AN$1</f>
        <v>1460</v>
      </c>
      <c r="J35" s="22"/>
      <c r="K35" s="57" t="s">
        <v>730</v>
      </c>
      <c r="L35" s="57" t="s">
        <v>3720</v>
      </c>
      <c r="M35" s="57" t="s">
        <v>3721</v>
      </c>
      <c r="N35" s="57"/>
      <c r="O35" s="57" t="s">
        <v>3722</v>
      </c>
      <c r="P35" s="57" t="s">
        <v>3723</v>
      </c>
      <c r="Q35" s="57" t="s">
        <v>55</v>
      </c>
      <c r="R35" s="57" t="s">
        <v>3724</v>
      </c>
      <c r="S35" s="57"/>
      <c r="T35" s="57"/>
      <c r="U35" s="57"/>
      <c r="V35" s="57"/>
      <c r="W35" s="57"/>
      <c r="X35" s="57"/>
      <c r="Y35" s="57"/>
      <c r="Z35" s="57"/>
      <c r="AA35" s="57"/>
      <c r="AB35" s="57"/>
      <c r="AC35" s="57"/>
      <c r="AD35" s="57"/>
      <c r="AE35" s="57"/>
      <c r="AF35" s="57"/>
      <c r="AG35" s="57"/>
      <c r="AH35" s="57"/>
      <c r="AI35" s="57"/>
      <c r="AJ35" s="57"/>
      <c r="AK35" s="57" t="s">
        <v>3718</v>
      </c>
      <c r="AL35" s="20"/>
      <c r="AM35" s="115"/>
      <c r="AN35" s="115"/>
      <c r="AO35" s="115"/>
      <c r="AP35" s="115"/>
      <c r="AQ35" s="115"/>
      <c r="AR35" s="115"/>
      <c r="AS35" s="115"/>
      <c r="AT35" s="115"/>
      <c r="AU35" s="115"/>
      <c r="AV35" s="115"/>
      <c r="AW35" s="115"/>
      <c r="AX35" s="115"/>
      <c r="AY35" s="115"/>
      <c r="AZ35" s="115"/>
      <c r="BA35" s="115"/>
      <c r="BB35" s="115"/>
      <c r="BC35" s="115"/>
      <c r="BD35" s="115"/>
      <c r="BE35" s="115"/>
      <c r="BF35" s="115"/>
    </row>
    <row r="36" ht="60.0" customHeight="1">
      <c r="A36" s="57" t="s">
        <v>3725</v>
      </c>
      <c r="B36" s="57"/>
      <c r="C36" s="57" t="s">
        <v>3282</v>
      </c>
      <c r="D36" s="111" t="s">
        <v>2027</v>
      </c>
      <c r="E36" s="57" t="s">
        <v>49</v>
      </c>
      <c r="F36" s="57" t="s">
        <v>3726</v>
      </c>
      <c r="G36" s="57"/>
      <c r="H36" s="22"/>
      <c r="I36" s="22">
        <f>'17020 SAI'!$H36+'17025 SAL'!$AN$1</f>
        <v>1460</v>
      </c>
      <c r="J36" s="22"/>
      <c r="K36" s="57" t="s">
        <v>730</v>
      </c>
      <c r="L36" s="57" t="s">
        <v>3727</v>
      </c>
      <c r="M36" s="57" t="s">
        <v>3728</v>
      </c>
      <c r="N36" s="57"/>
      <c r="O36" s="57" t="s">
        <v>3729</v>
      </c>
      <c r="P36" s="57" t="s">
        <v>3730</v>
      </c>
      <c r="Q36" s="57" t="s">
        <v>55</v>
      </c>
      <c r="R36" s="57" t="s">
        <v>3731</v>
      </c>
      <c r="S36" s="57"/>
      <c r="T36" s="57"/>
      <c r="U36" s="57"/>
      <c r="V36" s="57"/>
      <c r="W36" s="57"/>
      <c r="X36" s="57"/>
      <c r="Y36" s="57"/>
      <c r="Z36" s="57"/>
      <c r="AA36" s="57"/>
      <c r="AB36" s="57"/>
      <c r="AC36" s="57"/>
      <c r="AD36" s="57"/>
      <c r="AE36" s="57"/>
      <c r="AF36" s="57"/>
      <c r="AG36" s="57"/>
      <c r="AH36" s="57"/>
      <c r="AI36" s="57"/>
      <c r="AJ36" s="57"/>
      <c r="AK36" s="57" t="s">
        <v>3725</v>
      </c>
      <c r="AL36" s="20"/>
      <c r="AM36" s="115"/>
      <c r="AN36" s="115"/>
      <c r="AO36" s="115"/>
      <c r="AP36" s="115"/>
      <c r="AQ36" s="115"/>
      <c r="AR36" s="115"/>
      <c r="AS36" s="115"/>
      <c r="AT36" s="115"/>
      <c r="AU36" s="115"/>
      <c r="AV36" s="115"/>
      <c r="AW36" s="115"/>
      <c r="AX36" s="115"/>
      <c r="AY36" s="115"/>
      <c r="AZ36" s="115"/>
      <c r="BA36" s="115"/>
      <c r="BB36" s="115"/>
      <c r="BC36" s="115"/>
      <c r="BD36" s="115"/>
      <c r="BE36" s="115"/>
      <c r="BF36" s="115"/>
    </row>
    <row r="37" ht="60.0" customHeight="1">
      <c r="A37" s="57" t="s">
        <v>3732</v>
      </c>
      <c r="B37" s="57"/>
      <c r="C37" s="57" t="s">
        <v>3282</v>
      </c>
      <c r="D37" s="111" t="s">
        <v>2027</v>
      </c>
      <c r="E37" s="57" t="s">
        <v>49</v>
      </c>
      <c r="F37" s="57" t="s">
        <v>3733</v>
      </c>
      <c r="G37" s="57"/>
      <c r="H37" s="22"/>
      <c r="I37" s="22">
        <f>'17020 SAI'!$H37+'17025 SAL'!$AN$1</f>
        <v>1460</v>
      </c>
      <c r="J37" s="22"/>
      <c r="K37" s="57" t="s">
        <v>730</v>
      </c>
      <c r="L37" s="57" t="s">
        <v>3734</v>
      </c>
      <c r="M37" s="57" t="s">
        <v>3735</v>
      </c>
      <c r="N37" s="57"/>
      <c r="O37" s="57" t="s">
        <v>3736</v>
      </c>
      <c r="P37" s="57" t="s">
        <v>3737</v>
      </c>
      <c r="Q37" s="57" t="s">
        <v>55</v>
      </c>
      <c r="R37" s="57" t="s">
        <v>3738</v>
      </c>
      <c r="S37" s="57"/>
      <c r="T37" s="57" t="s">
        <v>3739</v>
      </c>
      <c r="U37" s="57"/>
      <c r="V37" s="57"/>
      <c r="W37" s="57"/>
      <c r="X37" s="57"/>
      <c r="Y37" s="57"/>
      <c r="Z37" s="57"/>
      <c r="AA37" s="57"/>
      <c r="AB37" s="57"/>
      <c r="AC37" s="57"/>
      <c r="AD37" s="57"/>
      <c r="AE37" s="57"/>
      <c r="AF37" s="57"/>
      <c r="AG37" s="57"/>
      <c r="AH37" s="57"/>
      <c r="AI37" s="57"/>
      <c r="AJ37" s="57"/>
      <c r="AK37" s="57" t="s">
        <v>3732</v>
      </c>
      <c r="AL37" s="20"/>
      <c r="AM37" s="115"/>
      <c r="AN37" s="115"/>
      <c r="AO37" s="115"/>
      <c r="AP37" s="115"/>
      <c r="AQ37" s="115"/>
      <c r="AR37" s="115"/>
      <c r="AS37" s="115"/>
      <c r="AT37" s="115"/>
      <c r="AU37" s="115"/>
      <c r="AV37" s="115"/>
      <c r="AW37" s="115"/>
      <c r="AX37" s="115"/>
      <c r="AY37" s="115"/>
      <c r="AZ37" s="115"/>
      <c r="BA37" s="115"/>
      <c r="BB37" s="115"/>
      <c r="BC37" s="115"/>
      <c r="BD37" s="115"/>
      <c r="BE37" s="115"/>
      <c r="BF37" s="115"/>
    </row>
    <row r="38" ht="60.0" customHeight="1">
      <c r="A38" s="57" t="s">
        <v>3740</v>
      </c>
      <c r="B38" s="57"/>
      <c r="C38" s="57" t="s">
        <v>3282</v>
      </c>
      <c r="D38" s="111" t="s">
        <v>213</v>
      </c>
      <c r="E38" s="57" t="s">
        <v>49</v>
      </c>
      <c r="F38" s="57" t="s">
        <v>3741</v>
      </c>
      <c r="G38" s="57" t="s">
        <v>3659</v>
      </c>
      <c r="H38" s="22"/>
      <c r="I38" s="22">
        <f>'17020 SAI'!$H38+'17025 SAL'!$AN$1</f>
        <v>1460</v>
      </c>
      <c r="J38" s="22">
        <v>41079.0</v>
      </c>
      <c r="K38" s="57" t="s">
        <v>730</v>
      </c>
      <c r="L38" s="57" t="s">
        <v>1462</v>
      </c>
      <c r="M38" s="57" t="s">
        <v>1463</v>
      </c>
      <c r="N38" s="57" t="s">
        <v>1464</v>
      </c>
      <c r="O38" s="57" t="s">
        <v>3742</v>
      </c>
      <c r="P38" s="57" t="s">
        <v>3743</v>
      </c>
      <c r="Q38" s="57" t="s">
        <v>1135</v>
      </c>
      <c r="R38" s="57" t="s">
        <v>1467</v>
      </c>
      <c r="S38" s="57" t="s">
        <v>1137</v>
      </c>
      <c r="T38" s="57" t="s">
        <v>1468</v>
      </c>
      <c r="U38" s="112" t="s">
        <v>3744</v>
      </c>
      <c r="V38" s="57" t="s">
        <v>3745</v>
      </c>
      <c r="W38" s="57" t="s">
        <v>1470</v>
      </c>
      <c r="X38" s="57" t="s">
        <v>346</v>
      </c>
      <c r="Y38" s="57" t="s">
        <v>1471</v>
      </c>
      <c r="Z38" s="57" t="s">
        <v>1472</v>
      </c>
      <c r="AA38" s="57" t="s">
        <v>1473</v>
      </c>
      <c r="AB38" s="57"/>
      <c r="AC38" s="57" t="s">
        <v>1142</v>
      </c>
      <c r="AD38" s="57" t="s">
        <v>1474</v>
      </c>
      <c r="AE38" s="57" t="s">
        <v>1475</v>
      </c>
      <c r="AF38" s="57" t="s">
        <v>3746</v>
      </c>
      <c r="AG38" s="57" t="s">
        <v>3747</v>
      </c>
      <c r="AH38" s="57" t="s">
        <v>1466</v>
      </c>
      <c r="AI38" s="112" t="str">
        <f>HYPERLINK("mailto:info@codocafe.gob.do","info@codocafe.gob.do")</f>
        <v>info@codocafe.gob.do</v>
      </c>
      <c r="AJ38" s="57" t="s">
        <v>1477</v>
      </c>
      <c r="AK38" s="57" t="s">
        <v>1478</v>
      </c>
      <c r="AL38" s="20" t="s">
        <v>3748</v>
      </c>
    </row>
    <row r="39" ht="60.0" customHeight="1">
      <c r="A39" s="57" t="s">
        <v>3749</v>
      </c>
      <c r="B39" s="57"/>
      <c r="C39" s="57" t="s">
        <v>3282</v>
      </c>
      <c r="D39" s="111" t="s">
        <v>213</v>
      </c>
      <c r="E39" s="57" t="s">
        <v>49</v>
      </c>
      <c r="F39" s="57" t="s">
        <v>3750</v>
      </c>
      <c r="G39" s="57" t="s">
        <v>3676</v>
      </c>
      <c r="H39" s="22"/>
      <c r="I39" s="22">
        <f>'17020 SAI'!$H39+'17025 SAL'!$AN$1</f>
        <v>1460</v>
      </c>
      <c r="J39" s="22">
        <v>41590.0</v>
      </c>
      <c r="K39" s="57" t="s">
        <v>730</v>
      </c>
      <c r="L39" s="57" t="s">
        <v>3751</v>
      </c>
      <c r="M39" s="112" t="str">
        <f>HYPERLINK("mailto:inspecciones@tqspanama.com","inspecciones@tqspanama.com;   fdelabarrera@tqspanama.com;")</f>
        <v>inspecciones@tqspanama.com;   fdelabarrera@tqspanama.com;</v>
      </c>
      <c r="N39" s="57"/>
      <c r="O39" s="57" t="s">
        <v>3752</v>
      </c>
      <c r="P39" s="57" t="s">
        <v>3753</v>
      </c>
      <c r="Q39" s="57" t="s">
        <v>2574</v>
      </c>
      <c r="R39" s="57" t="s">
        <v>3754</v>
      </c>
      <c r="S39" s="57"/>
      <c r="T39" s="57" t="s">
        <v>3755</v>
      </c>
      <c r="U39" s="57" t="s">
        <v>324</v>
      </c>
      <c r="V39" s="57" t="s">
        <v>3756</v>
      </c>
      <c r="W39" s="57" t="s">
        <v>3757</v>
      </c>
      <c r="X39" s="57" t="s">
        <v>62</v>
      </c>
      <c r="Y39" s="57" t="s">
        <v>2581</v>
      </c>
      <c r="Z39" s="57" t="s">
        <v>3758</v>
      </c>
      <c r="AA39" s="57" t="s">
        <v>3759</v>
      </c>
      <c r="AB39" s="57"/>
      <c r="AC39" s="57" t="s">
        <v>3760</v>
      </c>
      <c r="AD39" s="57" t="s">
        <v>3761</v>
      </c>
      <c r="AE39" s="57" t="s">
        <v>3762</v>
      </c>
      <c r="AF39" s="57" t="s">
        <v>3763</v>
      </c>
      <c r="AG39" s="57" t="s">
        <v>3764</v>
      </c>
      <c r="AH39" s="57" t="s">
        <v>3763</v>
      </c>
      <c r="AI39" s="112" t="str">
        <f>HYPERLINK("mailto:karjona@tqspanama.com;","karjona@tqspanama.com;")</f>
        <v>karjona@tqspanama.com;</v>
      </c>
      <c r="AJ39" s="57" t="s">
        <v>3765</v>
      </c>
      <c r="AK39" s="57" t="s">
        <v>3749</v>
      </c>
      <c r="AL39" s="20" t="s">
        <v>3766</v>
      </c>
      <c r="AM39" s="58"/>
    </row>
    <row r="40" ht="60.0" customHeight="1">
      <c r="A40" s="57" t="s">
        <v>3767</v>
      </c>
      <c r="B40" s="57"/>
      <c r="C40" s="57" t="s">
        <v>3282</v>
      </c>
      <c r="D40" s="111" t="s">
        <v>2027</v>
      </c>
      <c r="E40" s="57" t="s">
        <v>49</v>
      </c>
      <c r="F40" s="57" t="s">
        <v>3768</v>
      </c>
      <c r="G40" s="57"/>
      <c r="H40" s="22"/>
      <c r="I40" s="22">
        <f>'17020 SAI'!$H40+'17025 SAL'!$AN$1</f>
        <v>1460</v>
      </c>
      <c r="J40" s="22"/>
      <c r="K40" s="57"/>
      <c r="L40" s="57" t="s">
        <v>3769</v>
      </c>
      <c r="M40" s="112" t="str">
        <f>HYPERLINK("mailto:jcamacho@camachoymora.com","jcamacho@camachoymora.com; cym@camachoymora.com")</f>
        <v>jcamacho@camachoymora.com; cym@camachoymora.com</v>
      </c>
      <c r="N40" s="57"/>
      <c r="O40" s="57" t="s">
        <v>3770</v>
      </c>
      <c r="P40" s="57" t="s">
        <v>3771</v>
      </c>
      <c r="Q40" s="57" t="s">
        <v>55</v>
      </c>
      <c r="R40" s="57" t="s">
        <v>3772</v>
      </c>
      <c r="S40" s="57"/>
      <c r="T40" s="57" t="s">
        <v>3773</v>
      </c>
      <c r="U40" s="112" t="str">
        <f>HYPERLINK("http://www.camachoymora.com/","www.camachoymora.com")</f>
        <v>www.camachoymora.com</v>
      </c>
      <c r="V40" s="57" t="s">
        <v>3774</v>
      </c>
      <c r="W40" s="57" t="s">
        <v>3775</v>
      </c>
      <c r="X40" s="57"/>
      <c r="Y40" s="57" t="s">
        <v>63</v>
      </c>
      <c r="Z40" s="57" t="s">
        <v>3776</v>
      </c>
      <c r="AA40" s="57"/>
      <c r="AB40" s="57"/>
      <c r="AC40" s="57" t="s">
        <v>3777</v>
      </c>
      <c r="AD40" s="57"/>
      <c r="AE40" s="57" t="s">
        <v>3778</v>
      </c>
      <c r="AF40" s="57" t="s">
        <v>3770</v>
      </c>
      <c r="AG40" s="57" t="s">
        <v>3779</v>
      </c>
      <c r="AH40" s="57" t="s">
        <v>3780</v>
      </c>
      <c r="AI40" s="57"/>
      <c r="AJ40" s="57"/>
      <c r="AK40" s="57" t="s">
        <v>3767</v>
      </c>
      <c r="AL40" s="20"/>
      <c r="AM40" s="58"/>
    </row>
    <row r="41" ht="60.0" customHeight="1">
      <c r="A41" s="57" t="s">
        <v>3781</v>
      </c>
      <c r="B41" s="57" t="s">
        <v>1042</v>
      </c>
      <c r="C41" s="57" t="s">
        <v>3282</v>
      </c>
      <c r="D41" s="111" t="s">
        <v>48</v>
      </c>
      <c r="E41" s="57" t="s">
        <v>49</v>
      </c>
      <c r="F41" s="57" t="s">
        <v>3782</v>
      </c>
      <c r="G41" s="57" t="s">
        <v>3685</v>
      </c>
      <c r="H41" s="22">
        <v>44237.0</v>
      </c>
      <c r="I41" s="22">
        <f>'17020 SAI'!$H41+'17025 SAL'!$AN$1</f>
        <v>45697</v>
      </c>
      <c r="J41" s="22">
        <v>42122.0</v>
      </c>
      <c r="K41" s="57" t="s">
        <v>730</v>
      </c>
      <c r="L41" s="57" t="s">
        <v>1045</v>
      </c>
      <c r="M41" s="112" t="s">
        <v>1046</v>
      </c>
      <c r="N41" s="112" t="s">
        <v>3783</v>
      </c>
      <c r="O41" s="57" t="s">
        <v>3784</v>
      </c>
      <c r="P41" s="57" t="s">
        <v>1049</v>
      </c>
      <c r="Q41" s="57" t="s">
        <v>55</v>
      </c>
      <c r="R41" s="57" t="s">
        <v>3785</v>
      </c>
      <c r="S41" s="57" t="s">
        <v>57</v>
      </c>
      <c r="T41" s="57" t="s">
        <v>1051</v>
      </c>
      <c r="U41" s="112" t="str">
        <f>HYPERLINK("http://www.dmimetrologia.com/","www.dmimetrologia.com")</f>
        <v>www.dmimetrologia.com</v>
      </c>
      <c r="V41" s="57" t="s">
        <v>3786</v>
      </c>
      <c r="W41" s="57" t="s">
        <v>1053</v>
      </c>
      <c r="X41" s="57"/>
      <c r="Y41" s="57" t="s">
        <v>63</v>
      </c>
      <c r="Z41" s="57" t="s">
        <v>793</v>
      </c>
      <c r="AA41" s="57"/>
      <c r="AB41" s="57"/>
      <c r="AC41" s="57" t="s">
        <v>1055</v>
      </c>
      <c r="AD41" s="57" t="s">
        <v>1056</v>
      </c>
      <c r="AE41" s="57" t="s">
        <v>1057</v>
      </c>
      <c r="AF41" s="57" t="s">
        <v>1048</v>
      </c>
      <c r="AG41" s="57" t="s">
        <v>1054</v>
      </c>
      <c r="AH41" s="57" t="s">
        <v>1058</v>
      </c>
      <c r="AI41" s="112" t="s">
        <v>1059</v>
      </c>
      <c r="AJ41" s="57" t="s">
        <v>577</v>
      </c>
      <c r="AK41" s="57"/>
      <c r="AL41" s="20" t="s">
        <v>3787</v>
      </c>
      <c r="AM41" s="114"/>
      <c r="AN41" s="114"/>
      <c r="AO41" s="114"/>
      <c r="AP41" s="114"/>
      <c r="AQ41" s="114"/>
      <c r="AR41" s="114"/>
      <c r="AS41" s="114"/>
      <c r="AT41" s="114"/>
      <c r="AU41" s="114"/>
      <c r="AV41" s="114"/>
      <c r="AW41" s="114"/>
      <c r="AX41" s="114"/>
      <c r="AY41" s="114"/>
      <c r="AZ41" s="114"/>
      <c r="BA41" s="114"/>
      <c r="BB41" s="114"/>
      <c r="BC41" s="114"/>
      <c r="BD41" s="114"/>
      <c r="BE41" s="114"/>
      <c r="BF41" s="114"/>
    </row>
    <row r="42" ht="60.0" customHeight="1">
      <c r="A42" s="57" t="s">
        <v>3788</v>
      </c>
      <c r="B42" s="57" t="s">
        <v>3789</v>
      </c>
      <c r="C42" s="57" t="s">
        <v>3282</v>
      </c>
      <c r="D42" s="111" t="s">
        <v>48</v>
      </c>
      <c r="E42" s="57" t="s">
        <v>157</v>
      </c>
      <c r="F42" s="57" t="s">
        <v>3790</v>
      </c>
      <c r="G42" s="57" t="s">
        <v>3694</v>
      </c>
      <c r="H42" s="22">
        <v>44159.0</v>
      </c>
      <c r="I42" s="22">
        <f>'17020 SAI'!$H42+'17025 SAL'!$AN$1</f>
        <v>45619</v>
      </c>
      <c r="J42" s="22">
        <v>42381.0</v>
      </c>
      <c r="K42" s="57"/>
      <c r="L42" s="20" t="s">
        <v>703</v>
      </c>
      <c r="M42" s="57" t="s">
        <v>704</v>
      </c>
      <c r="N42" s="57" t="s">
        <v>705</v>
      </c>
      <c r="O42" s="20" t="s">
        <v>706</v>
      </c>
      <c r="P42" s="57" t="s">
        <v>707</v>
      </c>
      <c r="Q42" s="57" t="s">
        <v>55</v>
      </c>
      <c r="R42" s="57" t="s">
        <v>3791</v>
      </c>
      <c r="S42" s="57" t="s">
        <v>104</v>
      </c>
      <c r="T42" s="57" t="s">
        <v>3792</v>
      </c>
      <c r="U42" s="112" t="str">
        <f>HYPERLINK("http://www.aya.go.cr/","http://www.aya.go.cr/")</f>
        <v>http://www.aya.go.cr/</v>
      </c>
      <c r="V42" s="57" t="s">
        <v>710</v>
      </c>
      <c r="W42" s="57" t="s">
        <v>711</v>
      </c>
      <c r="X42" s="57" t="s">
        <v>62</v>
      </c>
      <c r="Y42" s="57" t="s">
        <v>63</v>
      </c>
      <c r="Z42" s="57" t="s">
        <v>712</v>
      </c>
      <c r="AA42" s="57" t="s">
        <v>713</v>
      </c>
      <c r="AB42" s="57"/>
      <c r="AC42" s="57" t="s">
        <v>714</v>
      </c>
      <c r="AD42" s="57"/>
      <c r="AE42" s="57" t="s">
        <v>3793</v>
      </c>
      <c r="AF42" s="57"/>
      <c r="AG42" s="57" t="s">
        <v>3794</v>
      </c>
      <c r="AH42" s="57">
        <v>2.2795118E7</v>
      </c>
      <c r="AI42" s="57"/>
      <c r="AJ42" s="57"/>
      <c r="AK42" s="57" t="s">
        <v>699</v>
      </c>
      <c r="AL42" s="20"/>
      <c r="AM42" s="114"/>
      <c r="AN42" s="114"/>
      <c r="AO42" s="114"/>
      <c r="AP42" s="114"/>
      <c r="AQ42" s="114"/>
      <c r="AR42" s="114"/>
      <c r="AS42" s="114"/>
      <c r="AT42" s="114"/>
      <c r="AU42" s="114"/>
      <c r="AV42" s="114"/>
      <c r="AW42" s="114"/>
      <c r="AX42" s="114"/>
      <c r="AY42" s="114"/>
      <c r="AZ42" s="114"/>
      <c r="BA42" s="114"/>
      <c r="BB42" s="114"/>
      <c r="BC42" s="114"/>
      <c r="BD42" s="114"/>
      <c r="BE42" s="114"/>
      <c r="BF42" s="114"/>
    </row>
    <row r="43" ht="60.0" customHeight="1">
      <c r="A43" s="57" t="s">
        <v>3795</v>
      </c>
      <c r="B43" s="57" t="s">
        <v>3796</v>
      </c>
      <c r="C43" s="57" t="s">
        <v>3282</v>
      </c>
      <c r="D43" s="111" t="s">
        <v>48</v>
      </c>
      <c r="E43" s="57" t="s">
        <v>157</v>
      </c>
      <c r="F43" s="57" t="s">
        <v>3797</v>
      </c>
      <c r="G43" s="57" t="s">
        <v>3703</v>
      </c>
      <c r="H43" s="22">
        <v>45882.0</v>
      </c>
      <c r="I43" s="22" t="s">
        <v>76</v>
      </c>
      <c r="J43" s="22">
        <v>42458.0</v>
      </c>
      <c r="K43" s="57"/>
      <c r="L43" s="57" t="s">
        <v>3798</v>
      </c>
      <c r="M43" s="57" t="s">
        <v>3799</v>
      </c>
      <c r="N43" s="112" t="s">
        <v>3800</v>
      </c>
      <c r="O43" s="57" t="s">
        <v>3801</v>
      </c>
      <c r="P43" s="57"/>
      <c r="Q43" s="57" t="s">
        <v>55</v>
      </c>
      <c r="R43" s="57" t="s">
        <v>1692</v>
      </c>
      <c r="S43" s="57" t="s">
        <v>121</v>
      </c>
      <c r="T43" s="57" t="s">
        <v>1693</v>
      </c>
      <c r="U43" s="57" t="s">
        <v>3802</v>
      </c>
      <c r="V43" s="57" t="s">
        <v>3803</v>
      </c>
      <c r="W43" s="57">
        <v>1.09970582E8</v>
      </c>
      <c r="X43" s="57" t="s">
        <v>3804</v>
      </c>
      <c r="Y43" s="57" t="s">
        <v>63</v>
      </c>
      <c r="Z43" s="57" t="s">
        <v>3805</v>
      </c>
      <c r="AA43" s="57" t="s">
        <v>3806</v>
      </c>
      <c r="AB43" s="57" t="s">
        <v>3807</v>
      </c>
      <c r="AC43" s="57" t="s">
        <v>67</v>
      </c>
      <c r="AD43" s="57" t="s">
        <v>1695</v>
      </c>
      <c r="AE43" s="57" t="s">
        <v>1696</v>
      </c>
      <c r="AF43" s="57" t="s">
        <v>1697</v>
      </c>
      <c r="AG43" s="57" t="s">
        <v>3808</v>
      </c>
      <c r="AH43" s="57" t="s">
        <v>1699</v>
      </c>
      <c r="AI43" s="57" t="s">
        <v>1700</v>
      </c>
      <c r="AJ43" s="57" t="s">
        <v>1701</v>
      </c>
      <c r="AK43" s="57" t="s">
        <v>1696</v>
      </c>
      <c r="AL43" s="20"/>
      <c r="AM43" s="114"/>
      <c r="AN43" s="114"/>
      <c r="AO43" s="114"/>
      <c r="AP43" s="114"/>
      <c r="AQ43" s="114"/>
      <c r="AR43" s="114"/>
      <c r="AS43" s="114"/>
      <c r="AT43" s="114"/>
      <c r="AU43" s="114"/>
      <c r="AV43" s="114"/>
      <c r="AW43" s="114"/>
      <c r="AX43" s="114"/>
      <c r="AY43" s="114"/>
      <c r="AZ43" s="114"/>
      <c r="BA43" s="114"/>
      <c r="BB43" s="114"/>
      <c r="BC43" s="114"/>
      <c r="BD43" s="114"/>
      <c r="BE43" s="114"/>
      <c r="BF43" s="114"/>
    </row>
    <row r="44" ht="60.0" customHeight="1">
      <c r="A44" s="57" t="s">
        <v>3809</v>
      </c>
      <c r="B44" s="57" t="s">
        <v>3810</v>
      </c>
      <c r="C44" s="57" t="s">
        <v>3282</v>
      </c>
      <c r="D44" s="111" t="s">
        <v>213</v>
      </c>
      <c r="E44" s="57" t="s">
        <v>157</v>
      </c>
      <c r="F44" s="57" t="s">
        <v>3811</v>
      </c>
      <c r="G44" s="57" t="s">
        <v>3719</v>
      </c>
      <c r="H44" s="22"/>
      <c r="I44" s="22">
        <f>'17020 SAI'!$H44+'17025 SAL'!$AN$1</f>
        <v>1460</v>
      </c>
      <c r="J44" s="22">
        <v>43040.0</v>
      </c>
      <c r="K44" s="57"/>
      <c r="L44" s="57" t="s">
        <v>3812</v>
      </c>
      <c r="M44" s="57" t="s">
        <v>3813</v>
      </c>
      <c r="N44" s="112" t="s">
        <v>3814</v>
      </c>
      <c r="O44" s="57" t="s">
        <v>3815</v>
      </c>
      <c r="P44" s="57" t="s">
        <v>3816</v>
      </c>
      <c r="Q44" s="57" t="s">
        <v>55</v>
      </c>
      <c r="R44" s="57" t="s">
        <v>3817</v>
      </c>
      <c r="S44" s="57" t="s">
        <v>121</v>
      </c>
      <c r="T44" s="57" t="s">
        <v>3818</v>
      </c>
      <c r="U44" s="112" t="str">
        <f>HYPERLINK("http://www.senasa.go.cr/","www.senasa.go.cr")</f>
        <v>www.senasa.go.cr</v>
      </c>
      <c r="V44" s="57" t="s">
        <v>3819</v>
      </c>
      <c r="W44" s="57" t="s">
        <v>3820</v>
      </c>
      <c r="X44" s="57"/>
      <c r="Y44" s="57" t="s">
        <v>63</v>
      </c>
      <c r="Z44" s="57" t="s">
        <v>3821</v>
      </c>
      <c r="AA44" s="57" t="s">
        <v>3822</v>
      </c>
      <c r="AB44" s="57"/>
      <c r="AC44" s="57" t="s">
        <v>413</v>
      </c>
      <c r="AD44" s="57" t="s">
        <v>324</v>
      </c>
      <c r="AE44" s="57" t="s">
        <v>324</v>
      </c>
      <c r="AF44" s="57" t="s">
        <v>324</v>
      </c>
      <c r="AG44" s="57" t="s">
        <v>324</v>
      </c>
      <c r="AH44" s="57" t="s">
        <v>324</v>
      </c>
      <c r="AI44" s="57" t="s">
        <v>324</v>
      </c>
      <c r="AJ44" s="57" t="s">
        <v>324</v>
      </c>
      <c r="AK44" s="57" t="s">
        <v>3823</v>
      </c>
      <c r="AL44" s="20"/>
      <c r="AM44" s="116"/>
      <c r="AN44" s="116"/>
      <c r="AO44" s="116"/>
      <c r="AP44" s="116"/>
      <c r="AQ44" s="116"/>
      <c r="AR44" s="116"/>
      <c r="AS44" s="116"/>
      <c r="AT44" s="116"/>
      <c r="AU44" s="116"/>
      <c r="AV44" s="116"/>
      <c r="AW44" s="116"/>
      <c r="AX44" s="116"/>
      <c r="AY44" s="116"/>
      <c r="AZ44" s="116"/>
      <c r="BA44" s="116"/>
      <c r="BB44" s="116"/>
      <c r="BC44" s="116"/>
      <c r="BD44" s="116"/>
      <c r="BE44" s="116"/>
      <c r="BF44" s="116"/>
    </row>
    <row r="45" ht="60.0" customHeight="1">
      <c r="A45" s="57" t="s">
        <v>3824</v>
      </c>
      <c r="B45" s="57"/>
      <c r="C45" s="57" t="s">
        <v>3282</v>
      </c>
      <c r="D45" s="111" t="s">
        <v>213</v>
      </c>
      <c r="E45" s="57" t="s">
        <v>2063</v>
      </c>
      <c r="F45" s="57" t="s">
        <v>3825</v>
      </c>
      <c r="G45" s="57"/>
      <c r="H45" s="22"/>
      <c r="I45" s="22">
        <f>'17020 SAI'!$H45+'17025 SAL'!$AN$1</f>
        <v>1460</v>
      </c>
      <c r="J45" s="22">
        <v>42908.0</v>
      </c>
      <c r="K45" s="57"/>
      <c r="L45" s="57" t="s">
        <v>3826</v>
      </c>
      <c r="M45" s="112" t="s">
        <v>3827</v>
      </c>
      <c r="N45" s="112" t="s">
        <v>3828</v>
      </c>
      <c r="O45" s="57" t="s">
        <v>3829</v>
      </c>
      <c r="P45" s="57" t="s">
        <v>324</v>
      </c>
      <c r="Q45" s="57" t="s">
        <v>55</v>
      </c>
      <c r="R45" s="57" t="s">
        <v>3830</v>
      </c>
      <c r="S45" s="57" t="s">
        <v>104</v>
      </c>
      <c r="T45" s="57" t="s">
        <v>3831</v>
      </c>
      <c r="U45" s="112" t="s">
        <v>3832</v>
      </c>
      <c r="V45" s="57" t="s">
        <v>3826</v>
      </c>
      <c r="W45" s="57" t="s">
        <v>3833</v>
      </c>
      <c r="X45" s="57" t="s">
        <v>62</v>
      </c>
      <c r="Y45" s="57" t="s">
        <v>63</v>
      </c>
      <c r="Z45" s="57" t="s">
        <v>3834</v>
      </c>
      <c r="AA45" s="57" t="s">
        <v>3830</v>
      </c>
      <c r="AB45" s="57"/>
      <c r="AC45" s="57" t="s">
        <v>1055</v>
      </c>
      <c r="AD45" s="57" t="s">
        <v>3835</v>
      </c>
      <c r="AE45" s="57" t="s">
        <v>3836</v>
      </c>
      <c r="AF45" s="57" t="s">
        <v>3829</v>
      </c>
      <c r="AG45" s="57" t="s">
        <v>3830</v>
      </c>
      <c r="AH45" s="57" t="s">
        <v>324</v>
      </c>
      <c r="AI45" s="57" t="s">
        <v>3837</v>
      </c>
      <c r="AJ45" s="57"/>
      <c r="AK45" s="57" t="s">
        <v>3836</v>
      </c>
      <c r="AL45" s="20" t="s">
        <v>1936</v>
      </c>
      <c r="AM45" s="58"/>
    </row>
    <row r="46" ht="60.0" customHeight="1">
      <c r="A46" s="57" t="s">
        <v>3824</v>
      </c>
      <c r="B46" s="57"/>
      <c r="C46" s="57" t="s">
        <v>3282</v>
      </c>
      <c r="D46" s="111" t="s">
        <v>213</v>
      </c>
      <c r="E46" s="57" t="s">
        <v>2063</v>
      </c>
      <c r="F46" s="57"/>
      <c r="G46" s="57"/>
      <c r="H46" s="22"/>
      <c r="I46" s="22">
        <f>'17020 SAI'!$H46+'17025 SAL'!$AN$1</f>
        <v>1460</v>
      </c>
      <c r="J46" s="22"/>
      <c r="K46" s="57"/>
      <c r="L46" s="57"/>
      <c r="M46" s="57"/>
      <c r="N46" s="57"/>
      <c r="O46" s="57"/>
      <c r="P46" s="57"/>
      <c r="Q46" s="57"/>
      <c r="R46" s="57"/>
      <c r="S46" s="57"/>
      <c r="T46" s="57"/>
      <c r="U46" s="57"/>
      <c r="V46" s="57" t="s">
        <v>3838</v>
      </c>
      <c r="W46" s="57" t="s">
        <v>3839</v>
      </c>
      <c r="X46" s="57" t="s">
        <v>84</v>
      </c>
      <c r="Y46" s="57" t="s">
        <v>63</v>
      </c>
      <c r="Z46" s="57" t="s">
        <v>3840</v>
      </c>
      <c r="AA46" s="57"/>
      <c r="AB46" s="57"/>
      <c r="AC46" s="57" t="s">
        <v>1055</v>
      </c>
      <c r="AD46" s="57"/>
      <c r="AE46" s="57"/>
      <c r="AF46" s="57"/>
      <c r="AG46" s="57"/>
      <c r="AH46" s="57"/>
      <c r="AI46" s="57"/>
      <c r="AJ46" s="57"/>
      <c r="AK46" s="57"/>
      <c r="AL46" s="20"/>
    </row>
    <row r="47" ht="60.0" customHeight="1">
      <c r="A47" s="57" t="s">
        <v>3841</v>
      </c>
      <c r="B47" s="57" t="s">
        <v>1834</v>
      </c>
      <c r="C47" s="57" t="s">
        <v>3282</v>
      </c>
      <c r="D47" s="111" t="s">
        <v>48</v>
      </c>
      <c r="E47" s="57" t="s">
        <v>2313</v>
      </c>
      <c r="F47" s="57" t="s">
        <v>3842</v>
      </c>
      <c r="G47" s="57" t="s">
        <v>3726</v>
      </c>
      <c r="H47" s="22">
        <v>45385.0</v>
      </c>
      <c r="I47" s="22">
        <f>'17020 SAI'!$H47+'17025 SAL'!$AN$1</f>
        <v>46845</v>
      </c>
      <c r="J47" s="22">
        <v>43040.0</v>
      </c>
      <c r="K47" s="57" t="s">
        <v>3843</v>
      </c>
      <c r="L47" s="57" t="s">
        <v>3844</v>
      </c>
      <c r="M47" s="112" t="s">
        <v>3845</v>
      </c>
      <c r="N47" s="57" t="s">
        <v>3846</v>
      </c>
      <c r="O47" s="57" t="s">
        <v>3847</v>
      </c>
      <c r="P47" s="57" t="s">
        <v>324</v>
      </c>
      <c r="Q47" s="57" t="s">
        <v>55</v>
      </c>
      <c r="R47" s="57" t="s">
        <v>1841</v>
      </c>
      <c r="S47" s="57" t="s">
        <v>104</v>
      </c>
      <c r="T47" s="57" t="s">
        <v>1842</v>
      </c>
      <c r="U47" s="112" t="s">
        <v>3848</v>
      </c>
      <c r="V47" s="57" t="s">
        <v>1843</v>
      </c>
      <c r="W47" s="57" t="s">
        <v>1844</v>
      </c>
      <c r="X47" s="57" t="s">
        <v>346</v>
      </c>
      <c r="Y47" s="57" t="s">
        <v>264</v>
      </c>
      <c r="Z47" s="57" t="s">
        <v>939</v>
      </c>
      <c r="AA47" s="57" t="s">
        <v>1845</v>
      </c>
      <c r="AB47" s="57"/>
      <c r="AC47" s="57" t="s">
        <v>1846</v>
      </c>
      <c r="AD47" s="57"/>
      <c r="AE47" s="57" t="s">
        <v>3849</v>
      </c>
      <c r="AF47" s="57"/>
      <c r="AG47" s="57"/>
      <c r="AH47" s="57"/>
      <c r="AI47" s="57"/>
      <c r="AJ47" s="57"/>
      <c r="AK47" s="57" t="s">
        <v>1834</v>
      </c>
      <c r="AL47" s="20"/>
      <c r="AM47" s="114"/>
      <c r="AN47" s="114"/>
      <c r="AO47" s="114"/>
      <c r="AP47" s="114"/>
      <c r="AQ47" s="114"/>
      <c r="AR47" s="114"/>
      <c r="AS47" s="114"/>
      <c r="AT47" s="114"/>
      <c r="AU47" s="114"/>
      <c r="AV47" s="114"/>
      <c r="AW47" s="114"/>
      <c r="AX47" s="114"/>
      <c r="AY47" s="114"/>
      <c r="AZ47" s="114"/>
      <c r="BA47" s="114"/>
      <c r="BB47" s="114"/>
      <c r="BC47" s="114"/>
      <c r="BD47" s="114"/>
      <c r="BE47" s="114"/>
      <c r="BF47" s="114"/>
    </row>
    <row r="48" ht="60.0" customHeight="1">
      <c r="A48" s="57" t="s">
        <v>3850</v>
      </c>
      <c r="B48" s="57" t="s">
        <v>3851</v>
      </c>
      <c r="C48" s="57" t="s">
        <v>3282</v>
      </c>
      <c r="D48" s="111" t="s">
        <v>213</v>
      </c>
      <c r="E48" s="57" t="s">
        <v>2063</v>
      </c>
      <c r="F48" s="57" t="s">
        <v>3852</v>
      </c>
      <c r="G48" s="57" t="s">
        <v>3733</v>
      </c>
      <c r="H48" s="22"/>
      <c r="I48" s="22">
        <f>'17020 SAI'!$H48+'17025 SAL'!$AN$1</f>
        <v>1460</v>
      </c>
      <c r="J48" s="22">
        <v>43054.0</v>
      </c>
      <c r="K48" s="57"/>
      <c r="L48" s="57" t="s">
        <v>3853</v>
      </c>
      <c r="M48" s="112" t="s">
        <v>3854</v>
      </c>
      <c r="N48" s="112" t="s">
        <v>3855</v>
      </c>
      <c r="O48" s="57" t="s">
        <v>3856</v>
      </c>
      <c r="P48" s="57" t="s">
        <v>324</v>
      </c>
      <c r="Q48" s="57" t="s">
        <v>55</v>
      </c>
      <c r="R48" s="57" t="s">
        <v>3857</v>
      </c>
      <c r="S48" s="57" t="s">
        <v>57</v>
      </c>
      <c r="T48" s="57" t="s">
        <v>3421</v>
      </c>
      <c r="U48" s="57" t="s">
        <v>324</v>
      </c>
      <c r="V48" s="57" t="s">
        <v>3858</v>
      </c>
      <c r="W48" s="57" t="s">
        <v>3859</v>
      </c>
      <c r="X48" s="57" t="s">
        <v>2379</v>
      </c>
      <c r="Y48" s="57" t="s">
        <v>63</v>
      </c>
      <c r="Z48" s="57" t="s">
        <v>305</v>
      </c>
      <c r="AA48" s="57" t="s">
        <v>3857</v>
      </c>
      <c r="AB48" s="57"/>
      <c r="AC48" s="57" t="s">
        <v>3860</v>
      </c>
      <c r="AD48" s="57"/>
      <c r="AE48" s="57" t="s">
        <v>3850</v>
      </c>
      <c r="AF48" s="57" t="s">
        <v>3861</v>
      </c>
      <c r="AG48" s="57" t="s">
        <v>3862</v>
      </c>
      <c r="AH48" s="57" t="s">
        <v>324</v>
      </c>
      <c r="AI48" s="57"/>
      <c r="AJ48" s="57"/>
      <c r="AK48" s="57" t="s">
        <v>3850</v>
      </c>
      <c r="AL48" s="20" t="s">
        <v>3863</v>
      </c>
    </row>
    <row r="49" ht="60.0" customHeight="1">
      <c r="A49" s="57" t="s">
        <v>3864</v>
      </c>
      <c r="B49" s="57" t="s">
        <v>1429</v>
      </c>
      <c r="C49" s="57" t="s">
        <v>3282</v>
      </c>
      <c r="D49" s="111" t="s">
        <v>213</v>
      </c>
      <c r="E49" s="57" t="s">
        <v>2063</v>
      </c>
      <c r="F49" s="57" t="s">
        <v>3865</v>
      </c>
      <c r="G49" s="57" t="s">
        <v>3741</v>
      </c>
      <c r="H49" s="22"/>
      <c r="I49" s="22">
        <f>'17020 SAI'!$H49+'17025 SAL'!$AN$1</f>
        <v>1460</v>
      </c>
      <c r="J49" s="22">
        <v>43350.0</v>
      </c>
      <c r="K49" s="57"/>
      <c r="L49" s="57" t="s">
        <v>3866</v>
      </c>
      <c r="M49" s="112" t="s">
        <v>3867</v>
      </c>
      <c r="N49" s="57" t="s">
        <v>3868</v>
      </c>
      <c r="O49" s="57" t="s">
        <v>3869</v>
      </c>
      <c r="P49" s="57" t="s">
        <v>3870</v>
      </c>
      <c r="Q49" s="57" t="s">
        <v>55</v>
      </c>
      <c r="R49" s="57" t="s">
        <v>3871</v>
      </c>
      <c r="S49" s="57" t="s">
        <v>57</v>
      </c>
      <c r="T49" s="57" t="s">
        <v>3872</v>
      </c>
      <c r="U49" s="112" t="s">
        <v>3873</v>
      </c>
      <c r="V49" s="57" t="s">
        <v>3874</v>
      </c>
      <c r="W49" s="57" t="s">
        <v>3875</v>
      </c>
      <c r="X49" s="57" t="s">
        <v>957</v>
      </c>
      <c r="Y49" s="57" t="s">
        <v>85</v>
      </c>
      <c r="Z49" s="57" t="s">
        <v>2057</v>
      </c>
      <c r="AA49" s="57" t="s">
        <v>3876</v>
      </c>
      <c r="AB49" s="57"/>
      <c r="AC49" s="57" t="s">
        <v>1183</v>
      </c>
      <c r="AD49" s="57"/>
      <c r="AE49" s="57" t="s">
        <v>3877</v>
      </c>
      <c r="AF49" s="57" t="s">
        <v>3878</v>
      </c>
      <c r="AG49" s="57" t="s">
        <v>3876</v>
      </c>
      <c r="AH49" s="57" t="s">
        <v>3870</v>
      </c>
      <c r="AI49" s="57"/>
      <c r="AJ49" s="57" t="s">
        <v>1442</v>
      </c>
      <c r="AK49" s="57"/>
      <c r="AL49" s="20" t="s">
        <v>3879</v>
      </c>
      <c r="BA49" s="117"/>
      <c r="BB49" s="117"/>
      <c r="BC49" s="117"/>
      <c r="BD49" s="117"/>
      <c r="BE49" s="117"/>
      <c r="BF49" s="117"/>
    </row>
    <row r="50" ht="60.0" customHeight="1">
      <c r="A50" s="57" t="s">
        <v>2293</v>
      </c>
      <c r="B50" s="57" t="s">
        <v>2294</v>
      </c>
      <c r="C50" s="57" t="s">
        <v>3282</v>
      </c>
      <c r="D50" s="111" t="s">
        <v>48</v>
      </c>
      <c r="E50" s="57" t="s">
        <v>2063</v>
      </c>
      <c r="F50" s="57" t="s">
        <v>3880</v>
      </c>
      <c r="G50" s="57" t="s">
        <v>3750</v>
      </c>
      <c r="H50" s="22">
        <v>45394.0</v>
      </c>
      <c r="I50" s="22">
        <f>'17020 SAI'!$H50+'17025 SAL'!$AN$1</f>
        <v>46854</v>
      </c>
      <c r="J50" s="22">
        <v>43403.0</v>
      </c>
      <c r="K50" s="57"/>
      <c r="L50" s="57" t="s">
        <v>3881</v>
      </c>
      <c r="M50" s="112" t="s">
        <v>3882</v>
      </c>
      <c r="N50" s="112" t="s">
        <v>2298</v>
      </c>
      <c r="O50" s="57" t="s">
        <v>2299</v>
      </c>
      <c r="P50" s="57" t="s">
        <v>2300</v>
      </c>
      <c r="Q50" s="57" t="s">
        <v>55</v>
      </c>
      <c r="R50" s="57" t="s">
        <v>3883</v>
      </c>
      <c r="S50" s="57" t="s">
        <v>57</v>
      </c>
      <c r="T50" s="57" t="s">
        <v>2303</v>
      </c>
      <c r="U50" s="57" t="s">
        <v>2304</v>
      </c>
      <c r="V50" s="57" t="s">
        <v>3884</v>
      </c>
      <c r="W50" s="57" t="s">
        <v>3885</v>
      </c>
      <c r="X50" s="57" t="s">
        <v>957</v>
      </c>
      <c r="Y50" s="57" t="s">
        <v>63</v>
      </c>
      <c r="Z50" s="57" t="s">
        <v>2057</v>
      </c>
      <c r="AA50" s="57" t="s">
        <v>2306</v>
      </c>
      <c r="AB50" s="57"/>
      <c r="AC50" s="57" t="s">
        <v>2229</v>
      </c>
      <c r="AD50" s="57"/>
      <c r="AE50" s="57"/>
      <c r="AF50" s="57"/>
      <c r="AG50" s="57"/>
      <c r="AH50" s="57"/>
      <c r="AI50" s="57"/>
      <c r="AJ50" s="57"/>
      <c r="AK50" s="57"/>
      <c r="AL50" s="20"/>
      <c r="AM50" s="114"/>
      <c r="AN50" s="114"/>
      <c r="AO50" s="114"/>
      <c r="AP50" s="114"/>
      <c r="AQ50" s="114"/>
      <c r="AR50" s="114"/>
      <c r="AS50" s="114"/>
      <c r="AT50" s="114"/>
      <c r="AU50" s="114"/>
      <c r="AV50" s="114"/>
      <c r="AW50" s="114"/>
      <c r="AX50" s="114"/>
      <c r="AY50" s="114"/>
      <c r="AZ50" s="114"/>
      <c r="BA50" s="114"/>
      <c r="BB50" s="114"/>
      <c r="BC50" s="114"/>
      <c r="BD50" s="114"/>
      <c r="BE50" s="114"/>
      <c r="BF50" s="114"/>
    </row>
    <row r="51" ht="60.0" customHeight="1">
      <c r="A51" s="57" t="s">
        <v>3886</v>
      </c>
      <c r="B51" s="57" t="s">
        <v>3887</v>
      </c>
      <c r="C51" s="57" t="s">
        <v>3282</v>
      </c>
      <c r="D51" s="111" t="s">
        <v>314</v>
      </c>
      <c r="E51" s="57" t="s">
        <v>49</v>
      </c>
      <c r="F51" s="57" t="s">
        <v>3888</v>
      </c>
      <c r="G51" s="57" t="s">
        <v>3790</v>
      </c>
      <c r="H51" s="22">
        <v>43938.0</v>
      </c>
      <c r="I51" s="22">
        <f>'17020 SAI'!$H51+'17025 SAL'!$AN$1</f>
        <v>45398</v>
      </c>
      <c r="J51" s="22">
        <v>43734.0</v>
      </c>
      <c r="K51" s="57"/>
      <c r="L51" s="57" t="s">
        <v>3889</v>
      </c>
      <c r="M51" s="112" t="s">
        <v>3890</v>
      </c>
      <c r="N51" s="57"/>
      <c r="O51" s="57" t="s">
        <v>3891</v>
      </c>
      <c r="P51" s="57" t="s">
        <v>629</v>
      </c>
      <c r="Q51" s="57" t="s">
        <v>55</v>
      </c>
      <c r="R51" s="57" t="s">
        <v>3892</v>
      </c>
      <c r="S51" s="57" t="s">
        <v>57</v>
      </c>
      <c r="T51" s="57" t="s">
        <v>631</v>
      </c>
      <c r="U51" s="112" t="s">
        <v>3893</v>
      </c>
      <c r="V51" s="57" t="s">
        <v>3894</v>
      </c>
      <c r="W51" s="57" t="s">
        <v>3895</v>
      </c>
      <c r="X51" s="57" t="s">
        <v>62</v>
      </c>
      <c r="Y51" s="57" t="s">
        <v>63</v>
      </c>
      <c r="Z51" s="57" t="s">
        <v>3896</v>
      </c>
      <c r="AA51" s="57" t="s">
        <v>3892</v>
      </c>
      <c r="AB51" s="57"/>
      <c r="AC51" s="57" t="s">
        <v>67</v>
      </c>
      <c r="AD51" s="57"/>
      <c r="AE51" s="57" t="s">
        <v>3897</v>
      </c>
      <c r="AF51" s="57" t="s">
        <v>3898</v>
      </c>
      <c r="AG51" s="57" t="s">
        <v>3899</v>
      </c>
      <c r="AH51" s="57"/>
      <c r="AI51" s="112" t="s">
        <v>3900</v>
      </c>
      <c r="AJ51" s="57"/>
      <c r="AK51" s="57" t="s">
        <v>3901</v>
      </c>
      <c r="AL51" s="20"/>
      <c r="AM51" s="114"/>
      <c r="AN51" s="114"/>
      <c r="AO51" s="114"/>
      <c r="AP51" s="114"/>
      <c r="AQ51" s="114"/>
      <c r="AR51" s="114"/>
      <c r="AS51" s="114"/>
      <c r="AT51" s="114"/>
      <c r="AU51" s="114"/>
      <c r="AV51" s="114"/>
      <c r="AW51" s="114"/>
      <c r="AX51" s="114"/>
      <c r="AY51" s="114"/>
      <c r="AZ51" s="114"/>
      <c r="BA51" s="114"/>
      <c r="BB51" s="114"/>
      <c r="BC51" s="114"/>
      <c r="BD51" s="114"/>
      <c r="BE51" s="114"/>
      <c r="BF51" s="114"/>
    </row>
    <row r="52" ht="60.0" customHeight="1">
      <c r="A52" s="57" t="s">
        <v>3902</v>
      </c>
      <c r="B52" s="57" t="s">
        <v>134</v>
      </c>
      <c r="C52" s="57" t="s">
        <v>3282</v>
      </c>
      <c r="D52" s="111" t="s">
        <v>213</v>
      </c>
      <c r="E52" s="57" t="s">
        <v>3903</v>
      </c>
      <c r="F52" s="57" t="s">
        <v>3904</v>
      </c>
      <c r="G52" s="57" t="s">
        <v>3782</v>
      </c>
      <c r="H52" s="22"/>
      <c r="I52" s="22">
        <f>'17020 SAI'!$H52+'17025 SAL'!$AN$1</f>
        <v>1460</v>
      </c>
      <c r="J52" s="22">
        <v>43647.0</v>
      </c>
      <c r="K52" s="57"/>
      <c r="L52" s="57" t="s">
        <v>3905</v>
      </c>
      <c r="M52" s="112" t="s">
        <v>3906</v>
      </c>
      <c r="N52" s="112" t="s">
        <v>3907</v>
      </c>
      <c r="O52" s="57" t="s">
        <v>3908</v>
      </c>
      <c r="P52" s="57" t="s">
        <v>3909</v>
      </c>
      <c r="Q52" s="57" t="s">
        <v>55</v>
      </c>
      <c r="R52" s="57" t="s">
        <v>3910</v>
      </c>
      <c r="S52" s="57" t="s">
        <v>57</v>
      </c>
      <c r="T52" s="57" t="s">
        <v>221</v>
      </c>
      <c r="U52" s="112" t="s">
        <v>3911</v>
      </c>
      <c r="V52" s="57" t="s">
        <v>3912</v>
      </c>
      <c r="W52" s="57" t="s">
        <v>3913</v>
      </c>
      <c r="X52" s="57" t="s">
        <v>326</v>
      </c>
      <c r="Y52" s="57" t="s">
        <v>264</v>
      </c>
      <c r="Z52" s="57" t="s">
        <v>428</v>
      </c>
      <c r="AA52" s="57" t="s">
        <v>429</v>
      </c>
      <c r="AB52" s="57"/>
      <c r="AC52" s="57" t="s">
        <v>3708</v>
      </c>
      <c r="AD52" s="57"/>
      <c r="AE52" s="57" t="s">
        <v>3914</v>
      </c>
      <c r="AF52" s="57" t="s">
        <v>587</v>
      </c>
      <c r="AG52" s="57" t="s">
        <v>3915</v>
      </c>
      <c r="AH52" s="57"/>
      <c r="AI52" s="57"/>
      <c r="AJ52" s="57"/>
      <c r="AK52" s="57"/>
      <c r="AL52" s="20" t="s">
        <v>3916</v>
      </c>
    </row>
    <row r="53" ht="60.0" customHeight="1">
      <c r="A53" s="57" t="s">
        <v>3917</v>
      </c>
      <c r="B53" s="57" t="s">
        <v>3917</v>
      </c>
      <c r="C53" s="57" t="s">
        <v>3282</v>
      </c>
      <c r="D53" s="111" t="s">
        <v>48</v>
      </c>
      <c r="E53" s="57" t="s">
        <v>2386</v>
      </c>
      <c r="F53" s="57" t="s">
        <v>3918</v>
      </c>
      <c r="G53" s="57" t="s">
        <v>3797</v>
      </c>
      <c r="H53" s="22">
        <v>45394.0</v>
      </c>
      <c r="I53" s="22">
        <f>'17020 SAI'!$H53+'17025 SAL'!$AN$1</f>
        <v>46854</v>
      </c>
      <c r="J53" s="22">
        <v>43914.0</v>
      </c>
      <c r="K53" s="57"/>
      <c r="L53" s="57" t="s">
        <v>3919</v>
      </c>
      <c r="M53" s="112" t="s">
        <v>3920</v>
      </c>
      <c r="N53" s="112" t="s">
        <v>3921</v>
      </c>
      <c r="O53" s="57">
        <v>2.2915237E7</v>
      </c>
      <c r="P53" s="57">
        <v>2.2915229E7</v>
      </c>
      <c r="Q53" s="57" t="s">
        <v>55</v>
      </c>
      <c r="R53" s="57" t="s">
        <v>3922</v>
      </c>
      <c r="S53" s="57" t="s">
        <v>57</v>
      </c>
      <c r="T53" s="57" t="s">
        <v>3923</v>
      </c>
      <c r="U53" s="57" t="s">
        <v>3924</v>
      </c>
      <c r="V53" s="57" t="s">
        <v>3925</v>
      </c>
      <c r="W53" s="57">
        <v>2.02590468E8</v>
      </c>
      <c r="X53" s="57" t="s">
        <v>62</v>
      </c>
      <c r="Y53" s="57" t="s">
        <v>63</v>
      </c>
      <c r="Z53" s="57" t="s">
        <v>3926</v>
      </c>
      <c r="AA53" s="57" t="s">
        <v>3922</v>
      </c>
      <c r="AB53" s="57"/>
      <c r="AC53" s="57" t="s">
        <v>285</v>
      </c>
      <c r="AD53" s="57" t="s">
        <v>3927</v>
      </c>
      <c r="AE53" s="57" t="s">
        <v>3928</v>
      </c>
      <c r="AF53" s="57">
        <v>2.2915237E7</v>
      </c>
      <c r="AG53" s="57" t="s">
        <v>3922</v>
      </c>
      <c r="AH53" s="57">
        <v>2.2915229E7</v>
      </c>
      <c r="AI53" s="112" t="s">
        <v>3929</v>
      </c>
      <c r="AJ53" s="57" t="s">
        <v>3930</v>
      </c>
      <c r="AK53" s="57" t="s">
        <v>3931</v>
      </c>
      <c r="AL53" s="20"/>
      <c r="AM53" s="114"/>
      <c r="AN53" s="114"/>
      <c r="AO53" s="114"/>
      <c r="AP53" s="114"/>
      <c r="AQ53" s="114"/>
      <c r="AR53" s="114"/>
      <c r="AS53" s="114"/>
      <c r="AT53" s="114"/>
      <c r="AU53" s="114"/>
      <c r="AV53" s="114"/>
      <c r="AW53" s="114"/>
      <c r="AX53" s="114"/>
      <c r="AY53" s="114"/>
      <c r="AZ53" s="114"/>
      <c r="BA53" s="114"/>
      <c r="BB53" s="114"/>
      <c r="BC53" s="114"/>
      <c r="BD53" s="114"/>
      <c r="BE53" s="114"/>
      <c r="BF53" s="114"/>
    </row>
    <row r="54" ht="60.0" customHeight="1">
      <c r="A54" s="57" t="s">
        <v>3932</v>
      </c>
      <c r="B54" s="57" t="s">
        <v>3933</v>
      </c>
      <c r="C54" s="57" t="s">
        <v>3282</v>
      </c>
      <c r="D54" s="111" t="s">
        <v>48</v>
      </c>
      <c r="E54" s="57" t="s">
        <v>2386</v>
      </c>
      <c r="F54" s="57" t="s">
        <v>3934</v>
      </c>
      <c r="G54" s="57" t="s">
        <v>3768</v>
      </c>
      <c r="H54" s="22">
        <v>45482.0</v>
      </c>
      <c r="I54" s="22" t="s">
        <v>140</v>
      </c>
      <c r="J54" s="22">
        <v>43620.0</v>
      </c>
      <c r="K54" s="57" t="s">
        <v>3935</v>
      </c>
      <c r="L54" s="57" t="s">
        <v>3936</v>
      </c>
      <c r="M54" s="57" t="s">
        <v>3937</v>
      </c>
      <c r="N54" s="57" t="s">
        <v>3938</v>
      </c>
      <c r="O54" s="57" t="s">
        <v>3939</v>
      </c>
      <c r="P54" s="57" t="s">
        <v>76</v>
      </c>
      <c r="Q54" s="57" t="s">
        <v>55</v>
      </c>
      <c r="R54" s="118" t="s">
        <v>3940</v>
      </c>
      <c r="S54" s="57" t="s">
        <v>57</v>
      </c>
      <c r="T54" s="57" t="s">
        <v>3941</v>
      </c>
      <c r="U54" s="118" t="s">
        <v>3942</v>
      </c>
      <c r="V54" s="57" t="s">
        <v>3943</v>
      </c>
      <c r="W54" s="57" t="s">
        <v>3944</v>
      </c>
      <c r="X54" s="118" t="s">
        <v>2398</v>
      </c>
      <c r="Y54" s="57" t="s">
        <v>63</v>
      </c>
      <c r="Z54" s="57" t="s">
        <v>3945</v>
      </c>
      <c r="AA54" s="57" t="s">
        <v>3946</v>
      </c>
      <c r="AB54" s="118" t="s">
        <v>3937</v>
      </c>
      <c r="AC54" s="57" t="s">
        <v>1055</v>
      </c>
      <c r="AD54" s="57" t="s">
        <v>3947</v>
      </c>
      <c r="AE54" s="118" t="s">
        <v>3943</v>
      </c>
      <c r="AF54" s="118" t="s">
        <v>3948</v>
      </c>
      <c r="AG54" s="118" t="s">
        <v>3949</v>
      </c>
      <c r="AH54" s="57" t="s">
        <v>76</v>
      </c>
      <c r="AI54" s="57" t="s">
        <v>3950</v>
      </c>
      <c r="AJ54" s="118" t="s">
        <v>3951</v>
      </c>
      <c r="AK54" s="57" t="s">
        <v>3952</v>
      </c>
      <c r="AL54" s="20"/>
      <c r="AM54" s="114"/>
      <c r="AN54" s="114"/>
      <c r="AO54" s="114"/>
      <c r="AP54" s="114"/>
      <c r="AQ54" s="114"/>
      <c r="AR54" s="114"/>
      <c r="AS54" s="114"/>
      <c r="AT54" s="114"/>
      <c r="AU54" s="114"/>
      <c r="AV54" s="114"/>
      <c r="AW54" s="114"/>
      <c r="AX54" s="114"/>
      <c r="AY54" s="114"/>
      <c r="AZ54" s="114"/>
      <c r="BA54" s="114"/>
      <c r="BB54" s="114"/>
      <c r="BC54" s="114"/>
      <c r="BD54" s="114"/>
      <c r="BE54" s="114"/>
      <c r="BF54" s="114"/>
    </row>
    <row r="55" ht="60.0" customHeight="1">
      <c r="A55" s="57" t="s">
        <v>3953</v>
      </c>
      <c r="B55" s="57" t="s">
        <v>134</v>
      </c>
      <c r="C55" s="57" t="s">
        <v>3282</v>
      </c>
      <c r="D55" s="111" t="s">
        <v>48</v>
      </c>
      <c r="E55" s="57" t="s">
        <v>3954</v>
      </c>
      <c r="F55" s="57" t="s">
        <v>3955</v>
      </c>
      <c r="G55" s="57" t="s">
        <v>3811</v>
      </c>
      <c r="H55" s="22">
        <v>45147.0</v>
      </c>
      <c r="I55" s="22">
        <f>'17020 SAI'!$H55+'17025 SAL'!$AN$1</f>
        <v>46607</v>
      </c>
      <c r="J55" s="22">
        <v>43927.0</v>
      </c>
      <c r="K55" s="57" t="s">
        <v>3956</v>
      </c>
      <c r="L55" s="57" t="s">
        <v>3957</v>
      </c>
      <c r="M55" s="112" t="s">
        <v>3958</v>
      </c>
      <c r="N55" s="112" t="s">
        <v>1228</v>
      </c>
      <c r="O55" s="57" t="s">
        <v>3959</v>
      </c>
      <c r="P55" s="57"/>
      <c r="Q55" s="57" t="s">
        <v>55</v>
      </c>
      <c r="R55" s="57" t="s">
        <v>220</v>
      </c>
      <c r="S55" s="57" t="s">
        <v>57</v>
      </c>
      <c r="T55" s="57" t="s">
        <v>221</v>
      </c>
      <c r="U55" s="57" t="s">
        <v>3960</v>
      </c>
      <c r="V55" s="20" t="s">
        <v>144</v>
      </c>
      <c r="W55" s="20" t="s">
        <v>145</v>
      </c>
      <c r="X55" s="20" t="s">
        <v>62</v>
      </c>
      <c r="Y55" s="26" t="s">
        <v>63</v>
      </c>
      <c r="Z55" s="20" t="s">
        <v>146</v>
      </c>
      <c r="AA55" s="57" t="s">
        <v>3961</v>
      </c>
      <c r="AB55" s="57"/>
      <c r="AC55" s="57" t="s">
        <v>148</v>
      </c>
      <c r="AD55" s="57" t="s">
        <v>223</v>
      </c>
      <c r="AE55" s="57" t="s">
        <v>134</v>
      </c>
      <c r="AF55" s="57" t="s">
        <v>3959</v>
      </c>
      <c r="AG55" s="57" t="s">
        <v>3961</v>
      </c>
      <c r="AH55" s="57"/>
      <c r="AI55" s="57" t="s">
        <v>226</v>
      </c>
      <c r="AJ55" s="57" t="s">
        <v>3962</v>
      </c>
      <c r="AK55" s="57" t="s">
        <v>134</v>
      </c>
      <c r="AL55" s="20"/>
      <c r="AM55" s="114"/>
      <c r="AN55" s="114"/>
      <c r="AO55" s="114"/>
      <c r="AP55" s="114"/>
      <c r="AQ55" s="114"/>
      <c r="AR55" s="114"/>
      <c r="AS55" s="114"/>
      <c r="AT55" s="114"/>
      <c r="AU55" s="114"/>
      <c r="AV55" s="114"/>
      <c r="AW55" s="114"/>
      <c r="AX55" s="114"/>
      <c r="AY55" s="114"/>
      <c r="AZ55" s="114"/>
      <c r="BA55" s="114"/>
      <c r="BB55" s="114"/>
      <c r="BC55" s="114"/>
      <c r="BD55" s="114"/>
      <c r="BE55" s="114"/>
      <c r="BF55" s="114"/>
    </row>
    <row r="56" ht="60.0" customHeight="1">
      <c r="A56" s="57" t="s">
        <v>3963</v>
      </c>
      <c r="B56" s="57" t="s">
        <v>3964</v>
      </c>
      <c r="C56" s="57" t="s">
        <v>3282</v>
      </c>
      <c r="D56" s="111" t="s">
        <v>48</v>
      </c>
      <c r="E56" s="57" t="s">
        <v>2386</v>
      </c>
      <c r="F56" s="57" t="s">
        <v>3965</v>
      </c>
      <c r="G56" s="57" t="s">
        <v>3966</v>
      </c>
      <c r="H56" s="22">
        <v>44322.0</v>
      </c>
      <c r="I56" s="22">
        <f>'17020 SAI'!$H56+'17025 SAL'!$AN$1</f>
        <v>45782</v>
      </c>
      <c r="J56" s="22">
        <v>44670.0</v>
      </c>
      <c r="K56" s="57"/>
      <c r="L56" s="57" t="s">
        <v>3967</v>
      </c>
      <c r="M56" s="57" t="s">
        <v>3968</v>
      </c>
      <c r="N56" s="112" t="s">
        <v>3969</v>
      </c>
      <c r="O56" s="57" t="s">
        <v>3970</v>
      </c>
      <c r="P56" s="57" t="s">
        <v>3971</v>
      </c>
      <c r="Q56" s="57" t="s">
        <v>55</v>
      </c>
      <c r="R56" s="57" t="s">
        <v>3972</v>
      </c>
      <c r="S56" s="57" t="s">
        <v>979</v>
      </c>
      <c r="T56" s="57" t="s">
        <v>3973</v>
      </c>
      <c r="U56" s="57" t="s">
        <v>3974</v>
      </c>
      <c r="V56" s="57" t="s">
        <v>3975</v>
      </c>
      <c r="W56" s="57">
        <v>2.0549001E8</v>
      </c>
      <c r="X56" s="57"/>
      <c r="Y56" s="57" t="s">
        <v>63</v>
      </c>
      <c r="Z56" s="57" t="s">
        <v>3976</v>
      </c>
      <c r="AA56" s="57" t="s">
        <v>3977</v>
      </c>
      <c r="AB56" s="57"/>
      <c r="AC56" s="57" t="s">
        <v>1055</v>
      </c>
      <c r="AD56" s="57"/>
      <c r="AE56" s="57" t="s">
        <v>3963</v>
      </c>
      <c r="AF56" s="57" t="s">
        <v>3971</v>
      </c>
      <c r="AG56" s="57" t="s">
        <v>3977</v>
      </c>
      <c r="AH56" s="57" t="s">
        <v>3971</v>
      </c>
      <c r="AI56" s="57" t="s">
        <v>3978</v>
      </c>
      <c r="AJ56" s="57"/>
      <c r="AK56" s="57" t="s">
        <v>3963</v>
      </c>
      <c r="AL56" s="20"/>
      <c r="AM56" s="114"/>
      <c r="AN56" s="114"/>
      <c r="AO56" s="114"/>
      <c r="AP56" s="114"/>
      <c r="AQ56" s="114"/>
      <c r="AR56" s="114"/>
      <c r="AS56" s="114"/>
      <c r="AT56" s="114"/>
      <c r="AU56" s="114"/>
      <c r="AV56" s="114"/>
      <c r="AW56" s="114"/>
      <c r="AX56" s="114"/>
      <c r="AY56" s="114"/>
      <c r="AZ56" s="114"/>
      <c r="BA56" s="114"/>
      <c r="BB56" s="114"/>
      <c r="BC56" s="114"/>
      <c r="BD56" s="114"/>
      <c r="BE56" s="114"/>
      <c r="BF56" s="114"/>
    </row>
    <row r="57" ht="60.0" customHeight="1">
      <c r="A57" s="57" t="s">
        <v>740</v>
      </c>
      <c r="B57" s="57" t="s">
        <v>741</v>
      </c>
      <c r="C57" s="57" t="s">
        <v>3282</v>
      </c>
      <c r="D57" s="111" t="s">
        <v>48</v>
      </c>
      <c r="E57" s="57" t="s">
        <v>49</v>
      </c>
      <c r="F57" s="57" t="s">
        <v>3979</v>
      </c>
      <c r="G57" s="57" t="s">
        <v>3979</v>
      </c>
      <c r="H57" s="22">
        <v>45142.0</v>
      </c>
      <c r="I57" s="22">
        <f>'17020 SAI'!$H57+'17025 SAL'!$AN$1</f>
        <v>46602</v>
      </c>
      <c r="J57" s="22">
        <v>44265.0</v>
      </c>
      <c r="K57" s="57" t="s">
        <v>324</v>
      </c>
      <c r="L57" s="57" t="s">
        <v>745</v>
      </c>
      <c r="M57" s="57" t="s">
        <v>746</v>
      </c>
      <c r="N57" s="57" t="s">
        <v>3980</v>
      </c>
      <c r="O57" s="57" t="s">
        <v>748</v>
      </c>
      <c r="P57" s="57" t="s">
        <v>749</v>
      </c>
      <c r="Q57" s="57" t="s">
        <v>55</v>
      </c>
      <c r="R57" s="57" t="s">
        <v>750</v>
      </c>
      <c r="S57" s="57" t="s">
        <v>57</v>
      </c>
      <c r="T57" s="57" t="s">
        <v>751</v>
      </c>
      <c r="U57" s="57" t="s">
        <v>140</v>
      </c>
      <c r="V57" s="57" t="s">
        <v>752</v>
      </c>
      <c r="W57" s="57" t="s">
        <v>753</v>
      </c>
      <c r="X57" s="57" t="s">
        <v>62</v>
      </c>
      <c r="Y57" s="57" t="s">
        <v>85</v>
      </c>
      <c r="Z57" s="57" t="s">
        <v>754</v>
      </c>
      <c r="AA57" s="57" t="s">
        <v>750</v>
      </c>
      <c r="AB57" s="57"/>
      <c r="AC57" s="57" t="s">
        <v>67</v>
      </c>
      <c r="AD57" s="57" t="s">
        <v>755</v>
      </c>
      <c r="AE57" s="57" t="s">
        <v>756</v>
      </c>
      <c r="AF57" s="57" t="s">
        <v>757</v>
      </c>
      <c r="AG57" s="57" t="s">
        <v>750</v>
      </c>
      <c r="AH57" s="57" t="s">
        <v>749</v>
      </c>
      <c r="AI57" s="112" t="str">
        <f>HYPERLINK("mailto:lgcingenieriadepavimentos@gmail.com","calidadlgc@gmail.com; lgcingenieriadepavimentos@gmail.com")</f>
        <v>calidadlgc@gmail.com; lgcingenieriadepavimentos@gmail.com</v>
      </c>
      <c r="AJ57" s="57" t="s">
        <v>759</v>
      </c>
      <c r="AK57" s="57" t="s">
        <v>740</v>
      </c>
      <c r="AL57" s="20"/>
      <c r="AM57" s="114"/>
      <c r="AN57" s="114"/>
      <c r="AO57" s="114"/>
      <c r="AP57" s="114"/>
      <c r="AQ57" s="114"/>
      <c r="AR57" s="114"/>
      <c r="AS57" s="114"/>
      <c r="AT57" s="114"/>
      <c r="AU57" s="114"/>
      <c r="AV57" s="114"/>
      <c r="AW57" s="114"/>
      <c r="AX57" s="114"/>
      <c r="AY57" s="114"/>
      <c r="AZ57" s="114"/>
      <c r="BA57" s="114"/>
      <c r="BB57" s="114"/>
      <c r="BC57" s="114"/>
      <c r="BD57" s="114"/>
      <c r="BE57" s="114"/>
      <c r="BF57" s="114"/>
    </row>
    <row r="58" ht="60.0" customHeight="1">
      <c r="A58" s="57" t="s">
        <v>3981</v>
      </c>
      <c r="B58" s="57" t="s">
        <v>3982</v>
      </c>
      <c r="C58" s="57" t="s">
        <v>3282</v>
      </c>
      <c r="D58" s="111" t="s">
        <v>48</v>
      </c>
      <c r="E58" s="57" t="s">
        <v>157</v>
      </c>
      <c r="F58" s="57" t="s">
        <v>3983</v>
      </c>
      <c r="G58" s="57" t="s">
        <v>3983</v>
      </c>
      <c r="H58" s="22">
        <v>45378.0</v>
      </c>
      <c r="I58" s="22">
        <f>'17020 SAI'!$H58+'17025 SAL'!$AN$1</f>
        <v>46838</v>
      </c>
      <c r="J58" s="22">
        <v>44355.0</v>
      </c>
      <c r="K58" s="57" t="s">
        <v>3984</v>
      </c>
      <c r="L58" s="57" t="s">
        <v>3985</v>
      </c>
      <c r="M58" s="112" t="s">
        <v>3986</v>
      </c>
      <c r="N58" s="113" t="s">
        <v>805</v>
      </c>
      <c r="O58" s="57" t="s">
        <v>816</v>
      </c>
      <c r="P58" s="57" t="s">
        <v>3987</v>
      </c>
      <c r="Q58" s="57" t="s">
        <v>55</v>
      </c>
      <c r="R58" s="57" t="s">
        <v>3988</v>
      </c>
      <c r="S58" s="57" t="s">
        <v>104</v>
      </c>
      <c r="T58" s="57" t="s">
        <v>165</v>
      </c>
      <c r="U58" s="112" t="s">
        <v>3989</v>
      </c>
      <c r="V58" s="57" t="s">
        <v>3990</v>
      </c>
      <c r="W58" s="57">
        <v>1.07450632E8</v>
      </c>
      <c r="X58" s="57" t="s">
        <v>62</v>
      </c>
      <c r="Y58" s="57" t="s">
        <v>63</v>
      </c>
      <c r="Z58" s="57" t="s">
        <v>411</v>
      </c>
      <c r="AA58" s="57" t="s">
        <v>3991</v>
      </c>
      <c r="AB58" s="57"/>
      <c r="AC58" s="57" t="s">
        <v>3992</v>
      </c>
      <c r="AD58" s="57" t="s">
        <v>3993</v>
      </c>
      <c r="AE58" s="57" t="s">
        <v>176</v>
      </c>
      <c r="AF58" s="57" t="s">
        <v>3994</v>
      </c>
      <c r="AG58" s="57" t="s">
        <v>3991</v>
      </c>
      <c r="AH58" s="57" t="s">
        <v>324</v>
      </c>
      <c r="AI58" s="112" t="s">
        <v>3995</v>
      </c>
      <c r="AJ58" s="57" t="s">
        <v>3996</v>
      </c>
      <c r="AK58" s="57" t="s">
        <v>3982</v>
      </c>
      <c r="AL58" s="20"/>
      <c r="AM58" s="114"/>
      <c r="AN58" s="114"/>
      <c r="AO58" s="114"/>
      <c r="AP58" s="114"/>
      <c r="AQ58" s="114"/>
      <c r="AR58" s="114"/>
      <c r="AS58" s="114"/>
      <c r="AT58" s="114"/>
      <c r="AU58" s="114"/>
      <c r="AV58" s="114"/>
      <c r="AW58" s="114"/>
      <c r="AX58" s="114"/>
      <c r="AY58" s="114"/>
      <c r="AZ58" s="114"/>
      <c r="BA58" s="114"/>
      <c r="BB58" s="114"/>
      <c r="BC58" s="114"/>
      <c r="BD58" s="114"/>
      <c r="BE58" s="114"/>
      <c r="BF58" s="114"/>
    </row>
    <row r="59" ht="60.0" customHeight="1">
      <c r="A59" s="57" t="s">
        <v>3997</v>
      </c>
      <c r="B59" s="57" t="s">
        <v>3998</v>
      </c>
      <c r="C59" s="57" t="s">
        <v>3282</v>
      </c>
      <c r="D59" s="111" t="s">
        <v>48</v>
      </c>
      <c r="E59" s="57" t="s">
        <v>49</v>
      </c>
      <c r="F59" s="57" t="s">
        <v>3999</v>
      </c>
      <c r="G59" s="57" t="s">
        <v>3999</v>
      </c>
      <c r="H59" s="22">
        <v>44210.0</v>
      </c>
      <c r="I59" s="22">
        <f>'17020 SAI'!$H59+'17025 SAL'!$AN$1</f>
        <v>45670</v>
      </c>
      <c r="J59" s="22">
        <v>44995.0</v>
      </c>
      <c r="K59" s="57" t="s">
        <v>4000</v>
      </c>
      <c r="L59" s="57" t="s">
        <v>4001</v>
      </c>
      <c r="M59" s="112" t="s">
        <v>4002</v>
      </c>
      <c r="N59" s="113" t="s">
        <v>4003</v>
      </c>
      <c r="O59" s="57" t="s">
        <v>4004</v>
      </c>
      <c r="P59" s="57" t="s">
        <v>4005</v>
      </c>
      <c r="Q59" s="57" t="s">
        <v>55</v>
      </c>
      <c r="R59" s="57" t="s">
        <v>4006</v>
      </c>
      <c r="S59" s="57" t="s">
        <v>57</v>
      </c>
      <c r="T59" s="57" t="s">
        <v>4007</v>
      </c>
      <c r="U59" s="112" t="s">
        <v>4008</v>
      </c>
      <c r="V59" s="57" t="s">
        <v>4009</v>
      </c>
      <c r="W59" s="57" t="s">
        <v>4010</v>
      </c>
      <c r="X59" s="57" t="s">
        <v>62</v>
      </c>
      <c r="Y59" s="57" t="s">
        <v>63</v>
      </c>
      <c r="Z59" s="57" t="s">
        <v>459</v>
      </c>
      <c r="AA59" s="57" t="s">
        <v>4011</v>
      </c>
      <c r="AB59" s="57"/>
      <c r="AC59" s="57" t="s">
        <v>285</v>
      </c>
      <c r="AD59" s="57" t="s">
        <v>4012</v>
      </c>
      <c r="AE59" s="57" t="s">
        <v>4013</v>
      </c>
      <c r="AF59" s="57" t="s">
        <v>4014</v>
      </c>
      <c r="AG59" s="57" t="s">
        <v>4011</v>
      </c>
      <c r="AH59" s="57" t="s">
        <v>4005</v>
      </c>
      <c r="AI59" s="57" t="s">
        <v>4015</v>
      </c>
      <c r="AJ59" s="57" t="s">
        <v>2717</v>
      </c>
      <c r="AK59" s="57" t="s">
        <v>3998</v>
      </c>
      <c r="AL59" s="20"/>
      <c r="AM59" s="114"/>
      <c r="AN59" s="114"/>
      <c r="AO59" s="114"/>
      <c r="AP59" s="114"/>
      <c r="AQ59" s="114"/>
      <c r="AR59" s="114"/>
      <c r="AS59" s="114"/>
      <c r="AT59" s="114"/>
      <c r="AU59" s="114"/>
      <c r="AV59" s="114"/>
      <c r="AW59" s="114"/>
      <c r="AX59" s="114"/>
      <c r="AY59" s="114"/>
      <c r="AZ59" s="114"/>
      <c r="BA59" s="114"/>
      <c r="BB59" s="114"/>
      <c r="BC59" s="114"/>
      <c r="BD59" s="114"/>
      <c r="BE59" s="114"/>
      <c r="BF59" s="114"/>
    </row>
    <row r="60" ht="60.0" customHeight="1">
      <c r="A60" s="57" t="s">
        <v>4016</v>
      </c>
      <c r="B60" s="57" t="s">
        <v>3142</v>
      </c>
      <c r="C60" s="57" t="s">
        <v>3282</v>
      </c>
      <c r="D60" s="111" t="s">
        <v>2027</v>
      </c>
      <c r="E60" s="57" t="s">
        <v>2734</v>
      </c>
      <c r="F60" s="57" t="s">
        <v>4017</v>
      </c>
      <c r="G60" s="57"/>
      <c r="H60" s="22"/>
      <c r="I60" s="22">
        <f>'17020 SAI'!$H60+'17025 SAL'!$AN$1</f>
        <v>1460</v>
      </c>
      <c r="J60" s="22"/>
      <c r="K60" s="57"/>
      <c r="L60" s="57" t="s">
        <v>4018</v>
      </c>
      <c r="M60" s="112" t="s">
        <v>1403</v>
      </c>
      <c r="N60" s="112" t="s">
        <v>1404</v>
      </c>
      <c r="O60" s="57" t="s">
        <v>4019</v>
      </c>
      <c r="P60" s="57" t="s">
        <v>3987</v>
      </c>
      <c r="Q60" s="57" t="s">
        <v>55</v>
      </c>
      <c r="R60" s="57" t="s">
        <v>4020</v>
      </c>
      <c r="S60" s="57" t="s">
        <v>121</v>
      </c>
      <c r="T60" s="57" t="s">
        <v>4021</v>
      </c>
      <c r="U60" s="57" t="s">
        <v>4022</v>
      </c>
      <c r="V60" s="57" t="s">
        <v>4023</v>
      </c>
      <c r="W60" s="57">
        <v>2.04510487E8</v>
      </c>
      <c r="X60" s="57" t="s">
        <v>346</v>
      </c>
      <c r="Y60" s="57" t="s">
        <v>63</v>
      </c>
      <c r="Z60" s="57" t="s">
        <v>4024</v>
      </c>
      <c r="AA60" s="57" t="s">
        <v>4025</v>
      </c>
      <c r="AB60" s="57"/>
      <c r="AC60" s="57" t="s">
        <v>108</v>
      </c>
      <c r="AD60" s="57"/>
      <c r="AE60" s="57" t="s">
        <v>4018</v>
      </c>
      <c r="AF60" s="57" t="s">
        <v>1406</v>
      </c>
      <c r="AG60" s="57" t="s">
        <v>4020</v>
      </c>
      <c r="AH60" s="57" t="s">
        <v>3987</v>
      </c>
      <c r="AI60" s="112" t="s">
        <v>1403</v>
      </c>
      <c r="AJ60" s="57" t="s">
        <v>4026</v>
      </c>
      <c r="AK60" s="57" t="s">
        <v>4027</v>
      </c>
      <c r="AL60" s="20"/>
      <c r="AM60" s="114"/>
      <c r="AN60" s="114"/>
      <c r="AO60" s="114"/>
      <c r="AP60" s="114"/>
      <c r="AQ60" s="114"/>
      <c r="AR60" s="114"/>
      <c r="AS60" s="114"/>
      <c r="AT60" s="114"/>
      <c r="AU60" s="114"/>
      <c r="AV60" s="114"/>
      <c r="AW60" s="114"/>
      <c r="AX60" s="114"/>
      <c r="AY60" s="114"/>
      <c r="AZ60" s="114"/>
      <c r="BA60" s="114"/>
      <c r="BB60" s="114"/>
      <c r="BC60" s="114"/>
      <c r="BD60" s="114"/>
      <c r="BE60" s="114"/>
      <c r="BF60" s="114"/>
    </row>
    <row r="61" ht="60.0" customHeight="1">
      <c r="A61" s="57" t="s">
        <v>3963</v>
      </c>
      <c r="B61" s="57" t="s">
        <v>3963</v>
      </c>
      <c r="C61" s="57" t="s">
        <v>3282</v>
      </c>
      <c r="D61" s="111" t="s">
        <v>2027</v>
      </c>
      <c r="E61" s="57" t="s">
        <v>49</v>
      </c>
      <c r="F61" s="57" t="s">
        <v>3966</v>
      </c>
      <c r="G61" s="57"/>
      <c r="H61" s="22">
        <v>43852.0</v>
      </c>
      <c r="I61" s="22">
        <f>'17020 SAI'!$H61+'17025 SAL'!$AN$1</f>
        <v>45312</v>
      </c>
      <c r="J61" s="22"/>
      <c r="K61" s="57"/>
      <c r="L61" s="57" t="s">
        <v>4028</v>
      </c>
      <c r="M61" s="57" t="s">
        <v>4029</v>
      </c>
      <c r="N61" s="112" t="s">
        <v>3969</v>
      </c>
      <c r="O61" s="57" t="s">
        <v>3971</v>
      </c>
      <c r="P61" s="57" t="s">
        <v>3971</v>
      </c>
      <c r="Q61" s="57" t="s">
        <v>55</v>
      </c>
      <c r="R61" s="57" t="s">
        <v>4030</v>
      </c>
      <c r="S61" s="57" t="s">
        <v>979</v>
      </c>
      <c r="T61" s="57" t="s">
        <v>3973</v>
      </c>
      <c r="U61" s="57" t="s">
        <v>3974</v>
      </c>
      <c r="V61" s="57" t="s">
        <v>3975</v>
      </c>
      <c r="W61" s="57" t="s">
        <v>4031</v>
      </c>
      <c r="X61" s="57" t="s">
        <v>4032</v>
      </c>
      <c r="Y61" s="57" t="s">
        <v>63</v>
      </c>
      <c r="Z61" s="57" t="s">
        <v>3976</v>
      </c>
      <c r="AA61" s="57" t="s">
        <v>4030</v>
      </c>
      <c r="AB61" s="57"/>
      <c r="AC61" s="57" t="s">
        <v>1055</v>
      </c>
      <c r="AD61" s="57" t="s">
        <v>4033</v>
      </c>
      <c r="AE61" s="57"/>
      <c r="AF61" s="57"/>
      <c r="AG61" s="57"/>
      <c r="AH61" s="57"/>
      <c r="AI61" s="57" t="s">
        <v>4034</v>
      </c>
      <c r="AJ61" s="57" t="s">
        <v>4035</v>
      </c>
      <c r="AK61" s="57" t="s">
        <v>3963</v>
      </c>
      <c r="AL61" s="20"/>
      <c r="AM61" s="114"/>
      <c r="AN61" s="114"/>
      <c r="AO61" s="114"/>
      <c r="AP61" s="114"/>
      <c r="AQ61" s="114"/>
      <c r="AR61" s="114"/>
      <c r="AS61" s="114"/>
      <c r="AT61" s="114"/>
      <c r="AU61" s="114"/>
      <c r="AV61" s="114"/>
      <c r="AW61" s="114"/>
      <c r="AX61" s="114"/>
      <c r="AY61" s="114"/>
      <c r="AZ61" s="114"/>
      <c r="BA61" s="114"/>
      <c r="BB61" s="114"/>
      <c r="BC61" s="114"/>
      <c r="BD61" s="114"/>
      <c r="BE61" s="114"/>
      <c r="BF61" s="114"/>
    </row>
    <row r="62" ht="60.0" customHeight="1">
      <c r="A62" s="57" t="s">
        <v>4036</v>
      </c>
      <c r="B62" s="57" t="s">
        <v>4037</v>
      </c>
      <c r="C62" s="57" t="s">
        <v>3282</v>
      </c>
      <c r="D62" s="111" t="s">
        <v>48</v>
      </c>
      <c r="E62" s="57" t="s">
        <v>49</v>
      </c>
      <c r="F62" s="57" t="s">
        <v>4038</v>
      </c>
      <c r="G62" s="57" t="s">
        <v>4038</v>
      </c>
      <c r="H62" s="22">
        <v>44515.0</v>
      </c>
      <c r="I62" s="22">
        <f>'17020 SAI'!$H62+'17025 SAL'!$AN$1</f>
        <v>45975</v>
      </c>
      <c r="J62" s="22">
        <v>44915.0</v>
      </c>
      <c r="K62" s="57"/>
      <c r="L62" s="57" t="s">
        <v>4039</v>
      </c>
      <c r="M62" s="112" t="s">
        <v>4040</v>
      </c>
      <c r="N62" s="112" t="s">
        <v>4041</v>
      </c>
      <c r="O62" s="57">
        <v>2.7104787E7</v>
      </c>
      <c r="P62" s="57">
        <v>2.7104875E7</v>
      </c>
      <c r="Q62" s="57" t="s">
        <v>55</v>
      </c>
      <c r="R62" s="57" t="s">
        <v>4042</v>
      </c>
      <c r="S62" s="57" t="s">
        <v>1570</v>
      </c>
      <c r="T62" s="57" t="s">
        <v>4043</v>
      </c>
      <c r="U62" s="57" t="s">
        <v>4044</v>
      </c>
      <c r="V62" s="57" t="s">
        <v>4045</v>
      </c>
      <c r="W62" s="57" t="s">
        <v>4046</v>
      </c>
      <c r="X62" s="57" t="s">
        <v>346</v>
      </c>
      <c r="Y62" s="57" t="s">
        <v>63</v>
      </c>
      <c r="Z62" s="57" t="s">
        <v>530</v>
      </c>
      <c r="AA62" s="57" t="s">
        <v>4047</v>
      </c>
      <c r="AB62" s="57"/>
      <c r="AC62" s="57" t="s">
        <v>1055</v>
      </c>
      <c r="AD62" s="57" t="s">
        <v>4048</v>
      </c>
      <c r="AE62" s="57"/>
      <c r="AF62" s="57"/>
      <c r="AG62" s="57"/>
      <c r="AH62" s="57"/>
      <c r="AI62" s="112" t="s">
        <v>4049</v>
      </c>
      <c r="AJ62" s="57" t="s">
        <v>4050</v>
      </c>
      <c r="AK62" s="57" t="s">
        <v>4051</v>
      </c>
      <c r="AL62" s="20" t="s">
        <v>4052</v>
      </c>
      <c r="AM62" s="114"/>
      <c r="AN62" s="114"/>
      <c r="AO62" s="114"/>
      <c r="AP62" s="114"/>
      <c r="AQ62" s="114"/>
      <c r="AR62" s="114"/>
      <c r="AS62" s="114"/>
      <c r="AT62" s="114"/>
      <c r="AU62" s="114"/>
      <c r="AV62" s="114"/>
      <c r="AW62" s="114"/>
      <c r="AX62" s="114"/>
      <c r="AY62" s="114"/>
      <c r="AZ62" s="114"/>
      <c r="BA62" s="114"/>
      <c r="BB62" s="114"/>
      <c r="BC62" s="114"/>
      <c r="BD62" s="114"/>
      <c r="BE62" s="114"/>
      <c r="BF62" s="114"/>
    </row>
    <row r="63" ht="60.0" customHeight="1">
      <c r="A63" s="57" t="s">
        <v>4053</v>
      </c>
      <c r="B63" s="57" t="s">
        <v>4053</v>
      </c>
      <c r="C63" s="57" t="s">
        <v>3282</v>
      </c>
      <c r="D63" s="111" t="s">
        <v>2027</v>
      </c>
      <c r="E63" s="57" t="s">
        <v>49</v>
      </c>
      <c r="F63" s="57" t="s">
        <v>4054</v>
      </c>
      <c r="G63" s="57"/>
      <c r="H63" s="22"/>
      <c r="I63" s="22">
        <f>'17020 SAI'!$H63+'17025 SAL'!$AN$1</f>
        <v>1460</v>
      </c>
      <c r="J63" s="22"/>
      <c r="K63" s="57"/>
      <c r="L63" s="57" t="s">
        <v>470</v>
      </c>
      <c r="M63" s="112" t="s">
        <v>4055</v>
      </c>
      <c r="N63" s="112" t="s">
        <v>4056</v>
      </c>
      <c r="O63" s="57" t="s">
        <v>4057</v>
      </c>
      <c r="P63" s="57" t="s">
        <v>324</v>
      </c>
      <c r="Q63" s="57" t="s">
        <v>55</v>
      </c>
      <c r="R63" s="57" t="s">
        <v>4058</v>
      </c>
      <c r="S63" s="57" t="s">
        <v>57</v>
      </c>
      <c r="T63" s="57" t="s">
        <v>4059</v>
      </c>
      <c r="U63" s="57" t="s">
        <v>324</v>
      </c>
      <c r="V63" s="57" t="s">
        <v>470</v>
      </c>
      <c r="W63" s="57" t="s">
        <v>4060</v>
      </c>
      <c r="X63" s="57" t="s">
        <v>4061</v>
      </c>
      <c r="Y63" s="57" t="s">
        <v>63</v>
      </c>
      <c r="Z63" s="57" t="s">
        <v>4062</v>
      </c>
      <c r="AA63" s="57" t="s">
        <v>4058</v>
      </c>
      <c r="AB63" s="57"/>
      <c r="AC63" s="57" t="s">
        <v>1055</v>
      </c>
      <c r="AD63" s="57" t="s">
        <v>4063</v>
      </c>
      <c r="AE63" s="57"/>
      <c r="AF63" s="57"/>
      <c r="AG63" s="57"/>
      <c r="AH63" s="57"/>
      <c r="AI63" s="112" t="s">
        <v>4064</v>
      </c>
      <c r="AJ63" s="57" t="s">
        <v>4065</v>
      </c>
      <c r="AK63" s="57" t="s">
        <v>4053</v>
      </c>
      <c r="AL63" s="20" t="s">
        <v>4066</v>
      </c>
      <c r="AM63" s="114"/>
      <c r="AN63" s="114"/>
      <c r="AO63" s="114"/>
      <c r="AP63" s="114"/>
      <c r="AQ63" s="114"/>
      <c r="AR63" s="114"/>
      <c r="AS63" s="114"/>
      <c r="AT63" s="114"/>
      <c r="AU63" s="114"/>
      <c r="AV63" s="114"/>
      <c r="AW63" s="114"/>
      <c r="AX63" s="114"/>
      <c r="AY63" s="114"/>
      <c r="AZ63" s="114"/>
      <c r="BA63" s="114"/>
      <c r="BB63" s="114"/>
      <c r="BC63" s="114"/>
      <c r="BD63" s="114"/>
      <c r="BE63" s="114"/>
      <c r="BF63" s="114"/>
    </row>
    <row r="64" ht="60.0" customHeight="1">
      <c r="A64" s="57" t="s">
        <v>4067</v>
      </c>
      <c r="B64" s="57" t="s">
        <v>4068</v>
      </c>
      <c r="C64" s="57" t="s">
        <v>3282</v>
      </c>
      <c r="D64" s="111" t="s">
        <v>2027</v>
      </c>
      <c r="E64" s="57" t="s">
        <v>49</v>
      </c>
      <c r="F64" s="57" t="s">
        <v>4069</v>
      </c>
      <c r="G64" s="57"/>
      <c r="H64" s="22"/>
      <c r="I64" s="22">
        <f>'17020 SAI'!$H64+'17025 SAL'!$AN$1</f>
        <v>1460</v>
      </c>
      <c r="J64" s="22"/>
      <c r="K64" s="57"/>
      <c r="L64" s="57" t="s">
        <v>4070</v>
      </c>
      <c r="M64" s="112" t="s">
        <v>4071</v>
      </c>
      <c r="N64" s="112" t="s">
        <v>4072</v>
      </c>
      <c r="O64" s="57">
        <v>4.7029938E7</v>
      </c>
      <c r="P64" s="57" t="s">
        <v>324</v>
      </c>
      <c r="Q64" s="57" t="s">
        <v>55</v>
      </c>
      <c r="R64" s="57" t="s">
        <v>4073</v>
      </c>
      <c r="S64" s="57" t="s">
        <v>57</v>
      </c>
      <c r="T64" s="57" t="s">
        <v>4074</v>
      </c>
      <c r="U64" s="57" t="s">
        <v>4075</v>
      </c>
      <c r="V64" s="57" t="s">
        <v>4070</v>
      </c>
      <c r="W64" s="57" t="s">
        <v>4076</v>
      </c>
      <c r="X64" s="57" t="s">
        <v>2398</v>
      </c>
      <c r="Y64" s="57" t="s">
        <v>63</v>
      </c>
      <c r="Z64" s="57" t="s">
        <v>4077</v>
      </c>
      <c r="AA64" s="57" t="s">
        <v>4078</v>
      </c>
      <c r="AB64" s="57"/>
      <c r="AC64" s="57" t="s">
        <v>3860</v>
      </c>
      <c r="AD64" s="57" t="s">
        <v>4079</v>
      </c>
      <c r="AE64" s="57"/>
      <c r="AF64" s="57"/>
      <c r="AG64" s="57"/>
      <c r="AH64" s="57"/>
      <c r="AI64" s="57" t="s">
        <v>4080</v>
      </c>
      <c r="AJ64" s="57" t="s">
        <v>4081</v>
      </c>
      <c r="AK64" s="57" t="s">
        <v>4082</v>
      </c>
      <c r="AL64" s="20"/>
      <c r="AM64" s="114"/>
      <c r="AN64" s="114"/>
      <c r="AO64" s="114"/>
      <c r="AP64" s="114"/>
      <c r="AQ64" s="114"/>
      <c r="AR64" s="114"/>
      <c r="AS64" s="114"/>
      <c r="AT64" s="114"/>
      <c r="AU64" s="114"/>
      <c r="AV64" s="114"/>
      <c r="AW64" s="114"/>
      <c r="AX64" s="114"/>
      <c r="AY64" s="114"/>
      <c r="AZ64" s="114"/>
      <c r="BA64" s="114"/>
      <c r="BB64" s="114"/>
      <c r="BC64" s="114"/>
      <c r="BD64" s="114"/>
      <c r="BE64" s="114"/>
      <c r="BF64" s="114"/>
    </row>
    <row r="65" ht="60.0" customHeight="1">
      <c r="A65" s="57" t="s">
        <v>4083</v>
      </c>
      <c r="B65" s="57" t="s">
        <v>4084</v>
      </c>
      <c r="C65" s="57" t="s">
        <v>3282</v>
      </c>
      <c r="D65" s="111" t="s">
        <v>2027</v>
      </c>
      <c r="E65" s="57" t="s">
        <v>49</v>
      </c>
      <c r="F65" s="57" t="s">
        <v>4085</v>
      </c>
      <c r="G65" s="57"/>
      <c r="H65" s="22"/>
      <c r="I65" s="22">
        <f>'17020 SAI'!$H65+'17025 SAL'!$AN$1</f>
        <v>1460</v>
      </c>
      <c r="J65" s="22"/>
      <c r="K65" s="57"/>
      <c r="L65" s="57" t="s">
        <v>4086</v>
      </c>
      <c r="M65" s="112" t="s">
        <v>4087</v>
      </c>
      <c r="N65" s="112" t="s">
        <v>4088</v>
      </c>
      <c r="O65" s="57" t="s">
        <v>4089</v>
      </c>
      <c r="P65" s="57" t="s">
        <v>324</v>
      </c>
      <c r="Q65" s="57" t="s">
        <v>55</v>
      </c>
      <c r="R65" s="57" t="s">
        <v>4090</v>
      </c>
      <c r="S65" s="57" t="s">
        <v>1570</v>
      </c>
      <c r="T65" s="57" t="s">
        <v>4091</v>
      </c>
      <c r="U65" s="57" t="s">
        <v>4092</v>
      </c>
      <c r="V65" s="57" t="s">
        <v>4093</v>
      </c>
      <c r="W65" s="57">
        <v>7.01370165E8</v>
      </c>
      <c r="X65" s="57" t="s">
        <v>62</v>
      </c>
      <c r="Y65" s="57" t="s">
        <v>63</v>
      </c>
      <c r="Z65" s="57"/>
      <c r="AA65" s="57" t="s">
        <v>4094</v>
      </c>
      <c r="AB65" s="57"/>
      <c r="AC65" s="57" t="s">
        <v>67</v>
      </c>
      <c r="AD65" s="57" t="s">
        <v>4095</v>
      </c>
      <c r="AE65" s="57"/>
      <c r="AF65" s="57"/>
      <c r="AG65" s="57"/>
      <c r="AH65" s="57"/>
      <c r="AI65" s="112" t="s">
        <v>4088</v>
      </c>
      <c r="AJ65" s="57" t="s">
        <v>4096</v>
      </c>
      <c r="AK65" s="57" t="s">
        <v>4097</v>
      </c>
      <c r="AL65" s="20" t="s">
        <v>4098</v>
      </c>
      <c r="AM65" s="114"/>
      <c r="AN65" s="114"/>
      <c r="AO65" s="114"/>
      <c r="AP65" s="114"/>
      <c r="AQ65" s="114"/>
      <c r="AR65" s="114"/>
      <c r="AS65" s="114"/>
      <c r="AT65" s="114"/>
      <c r="AU65" s="114"/>
      <c r="AV65" s="114"/>
      <c r="AW65" s="114"/>
      <c r="AX65" s="114"/>
      <c r="AY65" s="114"/>
      <c r="AZ65" s="114"/>
      <c r="BA65" s="114"/>
      <c r="BB65" s="114"/>
      <c r="BC65" s="114"/>
      <c r="BD65" s="114"/>
      <c r="BE65" s="114"/>
      <c r="BF65" s="114"/>
    </row>
    <row r="66" ht="60.0" customHeight="1">
      <c r="A66" s="57" t="s">
        <v>4099</v>
      </c>
      <c r="B66" s="57" t="s">
        <v>4100</v>
      </c>
      <c r="C66" s="57" t="s">
        <v>3282</v>
      </c>
      <c r="D66" s="111" t="s">
        <v>2027</v>
      </c>
      <c r="E66" s="57" t="s">
        <v>49</v>
      </c>
      <c r="F66" s="57" t="s">
        <v>4101</v>
      </c>
      <c r="G66" s="57"/>
      <c r="H66" s="22"/>
      <c r="I66" s="22">
        <f>'17020 SAI'!$H66+'17025 SAL'!$AN$1</f>
        <v>1460</v>
      </c>
      <c r="J66" s="22"/>
      <c r="K66" s="57"/>
      <c r="L66" s="57" t="s">
        <v>4102</v>
      </c>
      <c r="M66" s="57" t="s">
        <v>4103</v>
      </c>
      <c r="N66" s="57" t="s">
        <v>4104</v>
      </c>
      <c r="O66" s="57" t="s">
        <v>4105</v>
      </c>
      <c r="P66" s="57" t="s">
        <v>324</v>
      </c>
      <c r="Q66" s="57" t="s">
        <v>55</v>
      </c>
      <c r="R66" s="57" t="s">
        <v>4106</v>
      </c>
      <c r="S66" s="57" t="s">
        <v>4107</v>
      </c>
      <c r="T66" s="57" t="s">
        <v>4108</v>
      </c>
      <c r="U66" s="57" t="s">
        <v>4109</v>
      </c>
      <c r="V66" s="57" t="s">
        <v>4102</v>
      </c>
      <c r="W66" s="57" t="s">
        <v>4110</v>
      </c>
      <c r="X66" s="57" t="s">
        <v>62</v>
      </c>
      <c r="Y66" s="57" t="s">
        <v>63</v>
      </c>
      <c r="Z66" s="57" t="s">
        <v>530</v>
      </c>
      <c r="AA66" s="57" t="s">
        <v>4111</v>
      </c>
      <c r="AB66" s="57"/>
      <c r="AC66" s="57" t="s">
        <v>67</v>
      </c>
      <c r="AD66" s="57" t="s">
        <v>4112</v>
      </c>
      <c r="AE66" s="57"/>
      <c r="AF66" s="57"/>
      <c r="AG66" s="57"/>
      <c r="AH66" s="57"/>
      <c r="AI66" s="57" t="s">
        <v>4113</v>
      </c>
      <c r="AJ66" s="57" t="s">
        <v>4114</v>
      </c>
      <c r="AK66" s="57" t="s">
        <v>4099</v>
      </c>
      <c r="AL66" s="20"/>
      <c r="AM66" s="114"/>
      <c r="AN66" s="114"/>
      <c r="AO66" s="114"/>
      <c r="AP66" s="114"/>
      <c r="AQ66" s="114"/>
      <c r="AR66" s="114"/>
      <c r="AS66" s="114"/>
      <c r="AT66" s="114"/>
      <c r="AU66" s="114"/>
      <c r="AV66" s="114"/>
      <c r="AW66" s="114"/>
      <c r="AX66" s="114"/>
      <c r="AY66" s="114"/>
      <c r="AZ66" s="114"/>
      <c r="BA66" s="114"/>
      <c r="BB66" s="114"/>
      <c r="BC66" s="114"/>
      <c r="BD66" s="114"/>
      <c r="BE66" s="114"/>
      <c r="BF66" s="114"/>
    </row>
    <row r="67" ht="60.0" customHeight="1">
      <c r="A67" s="57" t="s">
        <v>4115</v>
      </c>
      <c r="B67" s="57" t="s">
        <v>4115</v>
      </c>
      <c r="C67" s="57" t="s">
        <v>3282</v>
      </c>
      <c r="D67" s="111" t="s">
        <v>822</v>
      </c>
      <c r="E67" s="57" t="s">
        <v>49</v>
      </c>
      <c r="F67" s="57" t="s">
        <v>4116</v>
      </c>
      <c r="G67" s="57" t="s">
        <v>4116</v>
      </c>
      <c r="H67" s="22">
        <v>44848.0</v>
      </c>
      <c r="I67" s="22">
        <f>'17020 SAI'!$H67+'17025 SAL'!$AN$1</f>
        <v>46308</v>
      </c>
      <c r="J67" s="22">
        <v>45271.0</v>
      </c>
      <c r="K67" s="57"/>
      <c r="L67" s="57" t="s">
        <v>4117</v>
      </c>
      <c r="M67" s="112" t="s">
        <v>4118</v>
      </c>
      <c r="N67" s="112" t="s">
        <v>4119</v>
      </c>
      <c r="O67" s="57" t="s">
        <v>4120</v>
      </c>
      <c r="P67" s="57" t="s">
        <v>324</v>
      </c>
      <c r="Q67" s="57" t="s">
        <v>55</v>
      </c>
      <c r="R67" s="57" t="s">
        <v>4121</v>
      </c>
      <c r="S67" s="57" t="s">
        <v>57</v>
      </c>
      <c r="T67" s="57" t="s">
        <v>4122</v>
      </c>
      <c r="U67" s="57" t="s">
        <v>4123</v>
      </c>
      <c r="V67" s="57" t="s">
        <v>4124</v>
      </c>
      <c r="W67" s="57" t="s">
        <v>4125</v>
      </c>
      <c r="X67" s="57" t="s">
        <v>4126</v>
      </c>
      <c r="Y67" s="57" t="s">
        <v>63</v>
      </c>
      <c r="Z67" s="57" t="s">
        <v>901</v>
      </c>
      <c r="AA67" s="57" t="s">
        <v>4127</v>
      </c>
      <c r="AB67" s="112" t="s">
        <v>4118</v>
      </c>
      <c r="AC67" s="57" t="s">
        <v>1055</v>
      </c>
      <c r="AD67" s="57" t="s">
        <v>4128</v>
      </c>
      <c r="AE67" s="57" t="s">
        <v>4129</v>
      </c>
      <c r="AF67" s="57" t="s">
        <v>4130</v>
      </c>
      <c r="AG67" s="57" t="s">
        <v>4131</v>
      </c>
      <c r="AH67" s="57" t="s">
        <v>4132</v>
      </c>
      <c r="AI67" s="112" t="s">
        <v>4133</v>
      </c>
      <c r="AJ67" s="57" t="s">
        <v>4134</v>
      </c>
      <c r="AK67" s="57"/>
      <c r="AL67" s="20" t="s">
        <v>4135</v>
      </c>
      <c r="AM67" s="114"/>
      <c r="AN67" s="114"/>
      <c r="AO67" s="114"/>
      <c r="AP67" s="114"/>
      <c r="AQ67" s="114"/>
      <c r="AR67" s="114"/>
      <c r="AS67" s="114"/>
      <c r="AT67" s="114"/>
      <c r="AU67" s="114"/>
      <c r="AV67" s="114"/>
      <c r="AW67" s="114"/>
      <c r="AX67" s="114"/>
      <c r="AY67" s="114"/>
      <c r="AZ67" s="114"/>
      <c r="BA67" s="114"/>
      <c r="BB67" s="114"/>
      <c r="BC67" s="114"/>
      <c r="BD67" s="114"/>
      <c r="BE67" s="114"/>
      <c r="BF67" s="114"/>
    </row>
    <row r="68" ht="60.0" customHeight="1">
      <c r="A68" s="57" t="s">
        <v>4136</v>
      </c>
      <c r="B68" s="57" t="s">
        <v>4137</v>
      </c>
      <c r="C68" s="57" t="s">
        <v>3282</v>
      </c>
      <c r="D68" s="111" t="s">
        <v>314</v>
      </c>
      <c r="E68" s="57" t="s">
        <v>49</v>
      </c>
      <c r="F68" s="57" t="s">
        <v>4138</v>
      </c>
      <c r="G68" s="57" t="s">
        <v>4138</v>
      </c>
      <c r="H68" s="22">
        <v>44862.0</v>
      </c>
      <c r="I68" s="22">
        <f>'17020 SAI'!$H68+'17025 SAL'!$AN$1</f>
        <v>46322</v>
      </c>
      <c r="J68" s="22">
        <v>45089.0</v>
      </c>
      <c r="K68" s="57" t="s">
        <v>4139</v>
      </c>
      <c r="L68" s="57" t="s">
        <v>3884</v>
      </c>
      <c r="M68" s="57" t="s">
        <v>4140</v>
      </c>
      <c r="N68" s="57"/>
      <c r="O68" s="57" t="s">
        <v>4141</v>
      </c>
      <c r="P68" s="57" t="s">
        <v>324</v>
      </c>
      <c r="Q68" s="57" t="s">
        <v>55</v>
      </c>
      <c r="R68" s="57" t="s">
        <v>4142</v>
      </c>
      <c r="S68" s="57" t="s">
        <v>57</v>
      </c>
      <c r="T68" s="57" t="s">
        <v>4143</v>
      </c>
      <c r="U68" s="57" t="s">
        <v>4144</v>
      </c>
      <c r="V68" s="57" t="s">
        <v>3884</v>
      </c>
      <c r="W68" s="57" t="s">
        <v>3885</v>
      </c>
      <c r="X68" s="57" t="s">
        <v>62</v>
      </c>
      <c r="Y68" s="57" t="s">
        <v>63</v>
      </c>
      <c r="Z68" s="57" t="s">
        <v>2057</v>
      </c>
      <c r="AA68" s="57" t="s">
        <v>4145</v>
      </c>
      <c r="AB68" s="57"/>
      <c r="AC68" s="57" t="s">
        <v>4146</v>
      </c>
      <c r="AD68" s="57" t="s">
        <v>4147</v>
      </c>
      <c r="AE68" s="57" t="s">
        <v>4148</v>
      </c>
      <c r="AF68" s="57" t="s">
        <v>4149</v>
      </c>
      <c r="AG68" s="57" t="s">
        <v>4150</v>
      </c>
      <c r="AH68" s="57" t="s">
        <v>140</v>
      </c>
      <c r="AI68" s="57" t="s">
        <v>4151</v>
      </c>
      <c r="AJ68" s="57" t="s">
        <v>4152</v>
      </c>
      <c r="AK68" s="57" t="s">
        <v>4137</v>
      </c>
      <c r="AL68" s="20"/>
      <c r="AM68" s="114"/>
      <c r="AN68" s="114"/>
      <c r="AO68" s="114"/>
      <c r="AP68" s="114"/>
      <c r="AQ68" s="114"/>
      <c r="AR68" s="114"/>
      <c r="AS68" s="114"/>
      <c r="AT68" s="114"/>
      <c r="AU68" s="114"/>
      <c r="AV68" s="114"/>
      <c r="AW68" s="114"/>
      <c r="AX68" s="114"/>
      <c r="AY68" s="114"/>
      <c r="AZ68" s="114"/>
      <c r="BA68" s="114"/>
      <c r="BB68" s="114"/>
      <c r="BC68" s="114"/>
      <c r="BD68" s="114"/>
      <c r="BE68" s="114"/>
      <c r="BF68" s="114"/>
    </row>
    <row r="69" ht="60.0" customHeight="1">
      <c r="A69" s="57" t="s">
        <v>4153</v>
      </c>
      <c r="B69" s="57" t="s">
        <v>4154</v>
      </c>
      <c r="C69" s="57" t="s">
        <v>3282</v>
      </c>
      <c r="D69" s="111" t="s">
        <v>2027</v>
      </c>
      <c r="E69" s="57" t="s">
        <v>49</v>
      </c>
      <c r="F69" s="57" t="s">
        <v>4155</v>
      </c>
      <c r="G69" s="57"/>
      <c r="H69" s="22"/>
      <c r="I69" s="22">
        <f>'17020 SAI'!$H69+'17025 SAL'!$AN$1</f>
        <v>1460</v>
      </c>
      <c r="J69" s="22"/>
      <c r="K69" s="57"/>
      <c r="L69" s="57" t="s">
        <v>4156</v>
      </c>
      <c r="M69" s="57" t="s">
        <v>4157</v>
      </c>
      <c r="N69" s="57"/>
      <c r="O69" s="57" t="s">
        <v>4158</v>
      </c>
      <c r="P69" s="57" t="s">
        <v>324</v>
      </c>
      <c r="Q69" s="57" t="s">
        <v>55</v>
      </c>
      <c r="R69" s="57" t="s">
        <v>4159</v>
      </c>
      <c r="S69" s="57" t="s">
        <v>57</v>
      </c>
      <c r="T69" s="57" t="s">
        <v>4160</v>
      </c>
      <c r="U69" s="112" t="s">
        <v>4161</v>
      </c>
      <c r="V69" s="57" t="s">
        <v>4156</v>
      </c>
      <c r="W69" s="57">
        <v>1.09590847E8</v>
      </c>
      <c r="X69" s="57" t="s">
        <v>62</v>
      </c>
      <c r="Y69" s="57" t="s">
        <v>63</v>
      </c>
      <c r="Z69" s="57" t="s">
        <v>3976</v>
      </c>
      <c r="AA69" s="57" t="s">
        <v>4162</v>
      </c>
      <c r="AB69" s="57"/>
      <c r="AC69" s="57" t="s">
        <v>4163</v>
      </c>
      <c r="AD69" s="57" t="s">
        <v>4164</v>
      </c>
      <c r="AE69" s="57" t="s">
        <v>4165</v>
      </c>
      <c r="AF69" s="57" t="s">
        <v>4166</v>
      </c>
      <c r="AG69" s="57" t="s">
        <v>4167</v>
      </c>
      <c r="AH69" s="57" t="s">
        <v>140</v>
      </c>
      <c r="AI69" s="57" t="s">
        <v>4168</v>
      </c>
      <c r="AJ69" s="57" t="s">
        <v>4169</v>
      </c>
      <c r="AK69" s="57" t="s">
        <v>4170</v>
      </c>
      <c r="AL69" s="20" t="s">
        <v>4171</v>
      </c>
      <c r="AM69" s="114"/>
      <c r="AN69" s="114"/>
      <c r="AO69" s="114"/>
      <c r="AP69" s="114"/>
      <c r="AQ69" s="114"/>
      <c r="AR69" s="114"/>
      <c r="AS69" s="114"/>
      <c r="AT69" s="114"/>
      <c r="AU69" s="114"/>
      <c r="AV69" s="114"/>
      <c r="AW69" s="114"/>
      <c r="AX69" s="114"/>
      <c r="AY69" s="114"/>
      <c r="AZ69" s="114"/>
      <c r="BA69" s="114"/>
      <c r="BB69" s="114"/>
      <c r="BC69" s="114"/>
      <c r="BD69" s="114"/>
      <c r="BE69" s="114"/>
      <c r="BF69" s="114"/>
    </row>
    <row r="70" ht="60.0" customHeight="1">
      <c r="A70" s="57" t="s">
        <v>4172</v>
      </c>
      <c r="B70" s="57" t="s">
        <v>4173</v>
      </c>
      <c r="C70" s="57" t="s">
        <v>3282</v>
      </c>
      <c r="D70" s="111" t="s">
        <v>48</v>
      </c>
      <c r="E70" s="57" t="s">
        <v>49</v>
      </c>
      <c r="F70" s="57" t="s">
        <v>4174</v>
      </c>
      <c r="G70" s="57" t="s">
        <v>4174</v>
      </c>
      <c r="H70" s="22">
        <v>45089.0</v>
      </c>
      <c r="I70" s="22">
        <f>'17020 SAI'!$H70+'17025 SAL'!$AN$1</f>
        <v>46549</v>
      </c>
      <c r="J70" s="22">
        <v>45484.0</v>
      </c>
      <c r="K70" s="57"/>
      <c r="L70" s="57" t="s">
        <v>4175</v>
      </c>
      <c r="M70" s="57" t="s">
        <v>4176</v>
      </c>
      <c r="N70" s="57" t="s">
        <v>4177</v>
      </c>
      <c r="O70" s="57">
        <v>2.4599999E7</v>
      </c>
      <c r="P70" s="57" t="s">
        <v>324</v>
      </c>
      <c r="Q70" s="57" t="s">
        <v>55</v>
      </c>
      <c r="R70" s="57" t="s">
        <v>4178</v>
      </c>
      <c r="S70" s="57" t="s">
        <v>121</v>
      </c>
      <c r="T70" s="57" t="s">
        <v>4179</v>
      </c>
      <c r="U70" s="112" t="s">
        <v>4180</v>
      </c>
      <c r="V70" s="57" t="s">
        <v>4181</v>
      </c>
      <c r="W70" s="57" t="s">
        <v>4182</v>
      </c>
      <c r="X70" s="57" t="s">
        <v>62</v>
      </c>
      <c r="Y70" s="57" t="s">
        <v>4183</v>
      </c>
      <c r="Z70" s="57" t="s">
        <v>4184</v>
      </c>
      <c r="AA70" s="57" t="s">
        <v>4185</v>
      </c>
      <c r="AB70" s="112" t="s">
        <v>4186</v>
      </c>
      <c r="AC70" s="57" t="s">
        <v>4187</v>
      </c>
      <c r="AD70" s="57" t="s">
        <v>1143</v>
      </c>
      <c r="AE70" s="57" t="s">
        <v>4188</v>
      </c>
      <c r="AF70" s="57" t="s">
        <v>4189</v>
      </c>
      <c r="AG70" s="57" t="s">
        <v>4185</v>
      </c>
      <c r="AH70" s="57" t="s">
        <v>140</v>
      </c>
      <c r="AI70" s="112" t="s">
        <v>4190</v>
      </c>
      <c r="AJ70" s="57" t="s">
        <v>4191</v>
      </c>
      <c r="AK70" s="57" t="s">
        <v>4192</v>
      </c>
      <c r="AL70" s="20"/>
      <c r="AM70" s="114"/>
      <c r="AN70" s="114"/>
      <c r="AO70" s="114"/>
      <c r="AP70" s="114"/>
      <c r="AQ70" s="114"/>
      <c r="AR70" s="114"/>
      <c r="AS70" s="114"/>
      <c r="AT70" s="114"/>
      <c r="AU70" s="114"/>
      <c r="AV70" s="114"/>
      <c r="AW70" s="114"/>
      <c r="AX70" s="114"/>
      <c r="AY70" s="114"/>
      <c r="AZ70" s="114"/>
      <c r="BA70" s="114"/>
      <c r="BB70" s="114"/>
      <c r="BC70" s="114"/>
      <c r="BD70" s="114"/>
      <c r="BE70" s="114"/>
      <c r="BF70" s="114"/>
    </row>
    <row r="71" ht="60.0" customHeight="1">
      <c r="A71" s="57" t="s">
        <v>4083</v>
      </c>
      <c r="B71" s="57" t="s">
        <v>4084</v>
      </c>
      <c r="C71" s="57" t="s">
        <v>3282</v>
      </c>
      <c r="D71" s="111" t="s">
        <v>822</v>
      </c>
      <c r="E71" s="57" t="s">
        <v>49</v>
      </c>
      <c r="F71" s="57" t="s">
        <v>4193</v>
      </c>
      <c r="G71" s="57" t="s">
        <v>4193</v>
      </c>
      <c r="H71" s="22">
        <v>45225.0</v>
      </c>
      <c r="I71" s="22">
        <f>'17020 SAI'!$H71+'17025 SAL'!$AN$1</f>
        <v>46685</v>
      </c>
      <c r="J71" s="22">
        <v>45531.0</v>
      </c>
      <c r="K71" s="57"/>
      <c r="L71" s="57" t="s">
        <v>4086</v>
      </c>
      <c r="M71" s="57" t="s">
        <v>4087</v>
      </c>
      <c r="N71" s="57" t="s">
        <v>4088</v>
      </c>
      <c r="O71" s="57" t="s">
        <v>4089</v>
      </c>
      <c r="P71" s="57" t="s">
        <v>324</v>
      </c>
      <c r="Q71" s="57" t="s">
        <v>55</v>
      </c>
      <c r="R71" s="57" t="s">
        <v>4194</v>
      </c>
      <c r="S71" s="57" t="s">
        <v>1570</v>
      </c>
      <c r="T71" s="57" t="s">
        <v>4091</v>
      </c>
      <c r="U71" s="57" t="s">
        <v>4092</v>
      </c>
      <c r="V71" s="57" t="s">
        <v>4093</v>
      </c>
      <c r="W71" s="57">
        <v>7.01370165E8</v>
      </c>
      <c r="X71" s="57" t="s">
        <v>62</v>
      </c>
      <c r="Y71" s="57" t="s">
        <v>63</v>
      </c>
      <c r="Z71" s="57"/>
      <c r="AA71" s="57" t="s">
        <v>4094</v>
      </c>
      <c r="AB71" s="57"/>
      <c r="AC71" s="57" t="s">
        <v>67</v>
      </c>
      <c r="AD71" s="57" t="s">
        <v>4095</v>
      </c>
      <c r="AE71" s="57"/>
      <c r="AF71" s="57"/>
      <c r="AG71" s="57"/>
      <c r="AH71" s="57"/>
      <c r="AI71" s="112" t="s">
        <v>4088</v>
      </c>
      <c r="AJ71" s="57" t="s">
        <v>4096</v>
      </c>
      <c r="AK71" s="57" t="s">
        <v>4097</v>
      </c>
      <c r="AL71" s="20" t="s">
        <v>4195</v>
      </c>
      <c r="AM71" s="114"/>
      <c r="AN71" s="114"/>
      <c r="AO71" s="114"/>
      <c r="AP71" s="114"/>
      <c r="AQ71" s="114"/>
      <c r="AR71" s="114"/>
      <c r="AS71" s="114"/>
      <c r="AT71" s="114"/>
      <c r="AU71" s="114"/>
      <c r="AV71" s="114"/>
      <c r="AW71" s="114"/>
      <c r="AX71" s="114"/>
      <c r="AY71" s="114"/>
      <c r="AZ71" s="114"/>
      <c r="BA71" s="114"/>
      <c r="BB71" s="114"/>
      <c r="BC71" s="114"/>
      <c r="BD71" s="114"/>
      <c r="BE71" s="114"/>
      <c r="BF71" s="114"/>
    </row>
    <row r="72" ht="60.0" customHeight="1">
      <c r="A72" s="57" t="s">
        <v>4196</v>
      </c>
      <c r="B72" s="57" t="s">
        <v>355</v>
      </c>
      <c r="C72" s="57" t="s">
        <v>3282</v>
      </c>
      <c r="D72" s="111" t="s">
        <v>48</v>
      </c>
      <c r="E72" s="57" t="s">
        <v>157</v>
      </c>
      <c r="F72" s="57" t="s">
        <v>4197</v>
      </c>
      <c r="G72" s="57" t="s">
        <v>4197</v>
      </c>
      <c r="H72" s="22">
        <v>45453.0</v>
      </c>
      <c r="I72" s="22" t="s">
        <v>76</v>
      </c>
      <c r="J72" s="22">
        <v>45622.0</v>
      </c>
      <c r="K72" s="57"/>
      <c r="L72" s="57" t="s">
        <v>872</v>
      </c>
      <c r="M72" s="57" t="s">
        <v>873</v>
      </c>
      <c r="N72" s="57" t="s">
        <v>4198</v>
      </c>
      <c r="O72" s="57" t="s">
        <v>4199</v>
      </c>
      <c r="P72" s="57" t="s">
        <v>324</v>
      </c>
      <c r="Q72" s="57" t="s">
        <v>55</v>
      </c>
      <c r="R72" s="57" t="s">
        <v>4200</v>
      </c>
      <c r="S72" s="57" t="s">
        <v>57</v>
      </c>
      <c r="T72" s="57" t="s">
        <v>1635</v>
      </c>
      <c r="U72" s="57" t="s">
        <v>4201</v>
      </c>
      <c r="V72" s="57" t="s">
        <v>2010</v>
      </c>
      <c r="W72" s="57" t="s">
        <v>880</v>
      </c>
      <c r="X72" s="57" t="s">
        <v>62</v>
      </c>
      <c r="Y72" s="57" t="s">
        <v>63</v>
      </c>
      <c r="Z72" s="57" t="s">
        <v>4202</v>
      </c>
      <c r="AA72" s="57" t="s">
        <v>4203</v>
      </c>
      <c r="AB72" s="112" t="s">
        <v>4204</v>
      </c>
      <c r="AC72" s="57" t="s">
        <v>2011</v>
      </c>
      <c r="AD72" s="57" t="s">
        <v>4205</v>
      </c>
      <c r="AE72" s="57" t="s">
        <v>4206</v>
      </c>
      <c r="AF72" s="57" t="s">
        <v>4207</v>
      </c>
      <c r="AG72" s="57" t="s">
        <v>4208</v>
      </c>
      <c r="AH72" s="57" t="s">
        <v>324</v>
      </c>
      <c r="AI72" s="112" t="s">
        <v>4209</v>
      </c>
      <c r="AJ72" s="57" t="s">
        <v>4210</v>
      </c>
      <c r="AK72" s="57" t="s">
        <v>518</v>
      </c>
      <c r="AL72" s="20"/>
      <c r="AN72" s="114"/>
      <c r="AO72" s="114"/>
      <c r="AP72" s="114"/>
      <c r="AQ72" s="114"/>
      <c r="AR72" s="114"/>
      <c r="AS72" s="114"/>
      <c r="AT72" s="114"/>
      <c r="AU72" s="114"/>
      <c r="AV72" s="114"/>
      <c r="AW72" s="114"/>
      <c r="AX72" s="114"/>
      <c r="AY72" s="114"/>
      <c r="AZ72" s="114"/>
      <c r="BA72" s="114"/>
      <c r="BB72" s="114"/>
      <c r="BC72" s="114"/>
      <c r="BD72" s="114"/>
      <c r="BE72" s="114"/>
      <c r="BF72" s="114"/>
    </row>
    <row r="73" ht="60.0" customHeight="1">
      <c r="A73" s="57" t="s">
        <v>4211</v>
      </c>
      <c r="B73" s="57" t="s">
        <v>4212</v>
      </c>
      <c r="C73" s="57" t="s">
        <v>3282</v>
      </c>
      <c r="D73" s="111" t="s">
        <v>2911</v>
      </c>
      <c r="E73" s="57" t="s">
        <v>49</v>
      </c>
      <c r="F73" s="57" t="s">
        <v>4213</v>
      </c>
      <c r="G73" s="57"/>
      <c r="H73" s="22"/>
      <c r="I73" s="22"/>
      <c r="J73" s="22"/>
      <c r="K73" s="57"/>
      <c r="L73" s="57" t="s">
        <v>745</v>
      </c>
      <c r="M73" s="57" t="s">
        <v>3067</v>
      </c>
      <c r="N73" s="57" t="s">
        <v>4214</v>
      </c>
      <c r="O73" s="57" t="s">
        <v>4215</v>
      </c>
      <c r="P73" s="57" t="s">
        <v>140</v>
      </c>
      <c r="Q73" s="57" t="s">
        <v>55</v>
      </c>
      <c r="R73" s="57" t="s">
        <v>4216</v>
      </c>
      <c r="S73" s="57" t="s">
        <v>57</v>
      </c>
      <c r="T73" s="57" t="s">
        <v>4217</v>
      </c>
      <c r="U73" s="57" t="s">
        <v>3190</v>
      </c>
      <c r="V73" s="57" t="s">
        <v>4218</v>
      </c>
      <c r="W73" s="57">
        <v>1.09660641E8</v>
      </c>
      <c r="X73" s="57" t="s">
        <v>326</v>
      </c>
      <c r="Y73" s="57" t="s">
        <v>63</v>
      </c>
      <c r="Z73" s="57" t="s">
        <v>411</v>
      </c>
      <c r="AA73" s="57" t="s">
        <v>4219</v>
      </c>
      <c r="AB73" s="57" t="s">
        <v>4214</v>
      </c>
      <c r="AC73" s="57" t="s">
        <v>67</v>
      </c>
      <c r="AD73" s="57" t="s">
        <v>4220</v>
      </c>
      <c r="AE73" s="57" t="s">
        <v>4218</v>
      </c>
      <c r="AF73" s="57" t="s">
        <v>4215</v>
      </c>
      <c r="AG73" s="57" t="s">
        <v>4216</v>
      </c>
      <c r="AH73" s="57" t="s">
        <v>140</v>
      </c>
      <c r="AI73" s="57" t="s">
        <v>4214</v>
      </c>
      <c r="AJ73" s="57" t="s">
        <v>4221</v>
      </c>
      <c r="AK73" s="57" t="s">
        <v>4211</v>
      </c>
      <c r="AL73" s="20"/>
    </row>
    <row r="74" ht="60.0" customHeight="1">
      <c r="A74" s="118" t="s">
        <v>4222</v>
      </c>
      <c r="B74" s="118"/>
      <c r="C74" s="118" t="s">
        <v>3282</v>
      </c>
      <c r="D74" s="119" t="s">
        <v>2911</v>
      </c>
      <c r="E74" s="118" t="s">
        <v>49</v>
      </c>
      <c r="F74" s="118" t="s">
        <v>4223</v>
      </c>
      <c r="G74" s="118"/>
      <c r="H74" s="120"/>
      <c r="I74" s="120"/>
      <c r="J74" s="120"/>
      <c r="K74" s="118"/>
      <c r="L74" s="118"/>
      <c r="M74" s="118"/>
      <c r="N74" s="118"/>
      <c r="O74" s="118"/>
      <c r="P74" s="118"/>
      <c r="Q74" s="118"/>
      <c r="R74" s="118"/>
      <c r="S74" s="118"/>
      <c r="T74" s="118"/>
      <c r="U74" s="118"/>
      <c r="V74" s="118"/>
      <c r="W74" s="118"/>
      <c r="X74" s="118"/>
      <c r="Y74" s="118"/>
      <c r="Z74" s="118"/>
      <c r="AA74" s="118"/>
      <c r="AB74" s="118"/>
      <c r="AC74" s="118"/>
      <c r="AD74" s="118"/>
      <c r="AE74" s="118"/>
      <c r="AF74" s="118"/>
      <c r="AG74" s="118"/>
      <c r="AH74" s="118"/>
      <c r="AI74" s="118"/>
      <c r="AJ74" s="118"/>
      <c r="AK74" s="118"/>
      <c r="AL74" s="35"/>
      <c r="AM74" s="121"/>
      <c r="AN74" s="121"/>
      <c r="AO74" s="121"/>
      <c r="AP74" s="121"/>
      <c r="AQ74" s="121"/>
      <c r="AR74" s="121"/>
      <c r="AS74" s="121"/>
      <c r="AT74" s="121"/>
      <c r="AU74" s="121"/>
      <c r="AV74" s="121"/>
      <c r="AW74" s="121"/>
      <c r="AX74" s="121"/>
      <c r="AY74" s="121"/>
      <c r="AZ74" s="121"/>
      <c r="BA74" s="121"/>
      <c r="BB74" s="121"/>
      <c r="BC74" s="121"/>
      <c r="BD74" s="121"/>
      <c r="BE74" s="121"/>
      <c r="BF74" s="121"/>
    </row>
    <row r="75" ht="60.0" customHeight="1">
      <c r="A75" s="86"/>
      <c r="B75" s="86"/>
      <c r="C75" s="86"/>
      <c r="D75" s="21"/>
      <c r="E75" s="122"/>
      <c r="F75" s="86"/>
      <c r="G75" s="86"/>
      <c r="H75" s="22"/>
      <c r="I75" s="22"/>
      <c r="J75" s="22"/>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20"/>
    </row>
    <row r="76" ht="15.75" customHeight="1">
      <c r="A76" s="123"/>
      <c r="B76" s="123"/>
      <c r="C76" s="123"/>
      <c r="D76" s="124"/>
      <c r="E76" s="123"/>
      <c r="F76" s="123"/>
      <c r="G76" s="125"/>
      <c r="H76" s="123"/>
      <c r="I76" s="123"/>
      <c r="J76" s="123"/>
      <c r="K76" s="123"/>
      <c r="L76" s="123"/>
      <c r="M76" s="126"/>
      <c r="N76" s="126"/>
      <c r="O76" s="123"/>
      <c r="P76" s="123"/>
      <c r="Q76" s="123"/>
      <c r="R76" s="123"/>
      <c r="S76" s="123"/>
      <c r="T76" s="123"/>
      <c r="U76" s="123"/>
      <c r="V76" s="123"/>
      <c r="W76" s="123"/>
      <c r="X76" s="123"/>
      <c r="Y76" s="123"/>
      <c r="Z76" s="123"/>
      <c r="AA76" s="123"/>
      <c r="AB76" s="123"/>
      <c r="AC76" s="123"/>
      <c r="AD76" s="123"/>
      <c r="AE76" s="123"/>
      <c r="AF76" s="123"/>
      <c r="AG76" s="123"/>
      <c r="AH76" s="123"/>
      <c r="AI76" s="123"/>
      <c r="AJ76" s="123"/>
      <c r="AK76" s="123"/>
      <c r="AL76" s="123"/>
    </row>
    <row r="77" ht="15.75" customHeight="1">
      <c r="D77" s="127"/>
      <c r="G77" s="128"/>
    </row>
    <row r="78" ht="15.75" customHeight="1">
      <c r="D78" s="127"/>
      <c r="G78" s="128"/>
    </row>
    <row r="79" ht="15.75" customHeight="1">
      <c r="D79" s="127"/>
      <c r="G79" s="128"/>
    </row>
    <row r="80" ht="15.0" customHeight="1">
      <c r="D80" s="127"/>
      <c r="G80" s="128"/>
    </row>
    <row r="81" ht="15.0" customHeight="1">
      <c r="D81" s="127"/>
      <c r="G81" s="128"/>
    </row>
    <row r="82" ht="15.0" customHeight="1">
      <c r="D82" s="127"/>
      <c r="G82" s="128"/>
    </row>
    <row r="83" ht="15.75" customHeight="1">
      <c r="D83" s="127"/>
      <c r="G83" s="128"/>
    </row>
    <row r="84" ht="15.75" customHeight="1">
      <c r="A84" s="101" t="s">
        <v>3266</v>
      </c>
      <c r="D84" s="127"/>
      <c r="G84" s="128"/>
      <c r="N84" s="58"/>
    </row>
    <row r="85" ht="15.75" customHeight="1">
      <c r="A85" s="102" t="s">
        <v>11</v>
      </c>
      <c r="B85" s="103"/>
      <c r="D85" s="127"/>
      <c r="G85" s="128"/>
      <c r="J85" s="129"/>
    </row>
    <row r="86" ht="15.75" customHeight="1">
      <c r="A86" s="21" t="s">
        <v>48</v>
      </c>
      <c r="B86" s="104" t="s">
        <v>3267</v>
      </c>
      <c r="D86" s="127"/>
      <c r="G86" s="128"/>
    </row>
    <row r="87" ht="15.75" customHeight="1">
      <c r="A87" s="21" t="s">
        <v>822</v>
      </c>
      <c r="B87" s="104" t="s">
        <v>3268</v>
      </c>
      <c r="D87" s="127"/>
      <c r="G87" s="128"/>
    </row>
    <row r="88" ht="15.75" customHeight="1">
      <c r="A88" s="21" t="s">
        <v>213</v>
      </c>
      <c r="B88" s="104" t="s">
        <v>3269</v>
      </c>
      <c r="D88" s="127"/>
      <c r="G88" s="128"/>
    </row>
    <row r="89" ht="15.75" customHeight="1">
      <c r="A89" s="21" t="s">
        <v>314</v>
      </c>
      <c r="B89" s="104" t="s">
        <v>3270</v>
      </c>
      <c r="D89" s="127"/>
      <c r="G89" s="128"/>
    </row>
    <row r="90" ht="15.75" customHeight="1">
      <c r="A90" s="21" t="s">
        <v>2027</v>
      </c>
      <c r="B90" s="104" t="s">
        <v>3271</v>
      </c>
      <c r="D90" s="127"/>
      <c r="G90" s="128"/>
    </row>
    <row r="91" ht="15.75" customHeight="1">
      <c r="A91" s="21" t="s">
        <v>2911</v>
      </c>
      <c r="B91" s="104" t="s">
        <v>3272</v>
      </c>
      <c r="D91" s="127"/>
      <c r="G91" s="128"/>
    </row>
    <row r="92" ht="15.75" customHeight="1">
      <c r="D92" s="127"/>
      <c r="G92" s="128"/>
    </row>
    <row r="93" ht="15.75" customHeight="1">
      <c r="D93" s="127"/>
      <c r="G93" s="128"/>
    </row>
    <row r="94" ht="15.75" customHeight="1">
      <c r="D94" s="127"/>
      <c r="G94" s="128"/>
    </row>
    <row r="95" ht="15.75" customHeight="1">
      <c r="D95" s="127"/>
      <c r="G95" s="128"/>
    </row>
    <row r="96" ht="15.75" customHeight="1">
      <c r="D96" s="127"/>
      <c r="G96" s="128"/>
    </row>
    <row r="97" ht="15.75" customHeight="1">
      <c r="D97" s="127"/>
      <c r="G97" s="128"/>
    </row>
    <row r="98" ht="15.75" customHeight="1">
      <c r="D98" s="127"/>
      <c r="G98" s="128"/>
    </row>
    <row r="99" ht="15.75" customHeight="1">
      <c r="D99" s="127"/>
      <c r="G99" s="128"/>
    </row>
    <row r="100" ht="15.75" customHeight="1">
      <c r="D100" s="127"/>
      <c r="G100" s="128"/>
    </row>
    <row r="101" ht="15.75" customHeight="1">
      <c r="D101" s="127"/>
      <c r="G101" s="128"/>
    </row>
    <row r="102" ht="15.75" customHeight="1">
      <c r="D102" s="127"/>
      <c r="G102" s="128"/>
    </row>
    <row r="103" ht="15.75" customHeight="1">
      <c r="D103" s="127"/>
      <c r="G103" s="128"/>
    </row>
    <row r="104" ht="15.75" customHeight="1">
      <c r="D104" s="127"/>
      <c r="G104" s="128"/>
    </row>
    <row r="105" ht="15.75" customHeight="1">
      <c r="D105" s="127"/>
      <c r="G105" s="128"/>
    </row>
    <row r="106" ht="15.75" customHeight="1">
      <c r="D106" s="127"/>
      <c r="G106" s="128"/>
    </row>
    <row r="107" ht="15.75" customHeight="1">
      <c r="D107" s="127"/>
      <c r="G107" s="128"/>
    </row>
    <row r="108" ht="15.75" customHeight="1">
      <c r="D108" s="127"/>
      <c r="G108" s="128"/>
    </row>
    <row r="109" ht="15.75" customHeight="1">
      <c r="D109" s="127"/>
      <c r="G109" s="128"/>
    </row>
    <row r="110" ht="15.75" customHeight="1">
      <c r="D110" s="127"/>
      <c r="G110" s="128"/>
    </row>
    <row r="111" ht="15.75" customHeight="1">
      <c r="D111" s="127"/>
      <c r="G111" s="128"/>
    </row>
    <row r="112" ht="15.75" customHeight="1">
      <c r="D112" s="127"/>
      <c r="G112" s="128"/>
    </row>
    <row r="113" ht="15.75" customHeight="1">
      <c r="D113" s="127"/>
      <c r="G113" s="128"/>
    </row>
    <row r="114" ht="15.75" customHeight="1">
      <c r="D114" s="127"/>
      <c r="G114" s="128"/>
    </row>
    <row r="115" ht="15.75" customHeight="1">
      <c r="D115" s="127"/>
      <c r="G115" s="128"/>
    </row>
    <row r="116" ht="15.75" customHeight="1">
      <c r="D116" s="127"/>
      <c r="G116" s="128"/>
    </row>
    <row r="117" ht="15.75" customHeight="1">
      <c r="D117" s="127"/>
      <c r="G117" s="128"/>
    </row>
    <row r="118" ht="15.75" customHeight="1">
      <c r="D118" s="127"/>
      <c r="G118" s="128"/>
    </row>
    <row r="119" ht="15.75" customHeight="1">
      <c r="D119" s="127"/>
      <c r="G119" s="128"/>
    </row>
    <row r="120" ht="15.75" customHeight="1">
      <c r="D120" s="127"/>
      <c r="G120" s="128"/>
    </row>
    <row r="121" ht="15.75" customHeight="1">
      <c r="D121" s="127"/>
      <c r="G121" s="128"/>
    </row>
    <row r="122" ht="15.75" customHeight="1">
      <c r="D122" s="127"/>
      <c r="G122" s="128"/>
    </row>
    <row r="123" ht="15.75" customHeight="1">
      <c r="D123" s="127"/>
      <c r="G123" s="128"/>
    </row>
    <row r="124" ht="15.75" customHeight="1">
      <c r="D124" s="127"/>
      <c r="G124" s="128"/>
    </row>
    <row r="125" ht="15.75" customHeight="1">
      <c r="D125" s="127"/>
      <c r="G125" s="128"/>
    </row>
    <row r="126" ht="15.75" customHeight="1">
      <c r="D126" s="127"/>
      <c r="G126" s="128"/>
    </row>
    <row r="127" ht="15.75" customHeight="1">
      <c r="D127" s="127"/>
      <c r="G127" s="128"/>
    </row>
    <row r="128" ht="15.75" customHeight="1">
      <c r="D128" s="127"/>
      <c r="G128" s="128"/>
    </row>
    <row r="129" ht="15.75" customHeight="1">
      <c r="D129" s="127"/>
      <c r="G129" s="128"/>
    </row>
    <row r="130" ht="15.75" customHeight="1">
      <c r="D130" s="127"/>
      <c r="G130" s="128"/>
    </row>
    <row r="131" ht="15.75" customHeight="1">
      <c r="D131" s="127"/>
      <c r="G131" s="128"/>
    </row>
    <row r="132" ht="15.75" customHeight="1">
      <c r="D132" s="127"/>
      <c r="G132" s="128"/>
    </row>
    <row r="133" ht="15.75" customHeight="1">
      <c r="D133" s="127"/>
      <c r="G133" s="128"/>
    </row>
    <row r="134" ht="15.75" customHeight="1">
      <c r="D134" s="127"/>
      <c r="G134" s="128"/>
    </row>
    <row r="135" ht="15.75" customHeight="1">
      <c r="D135" s="127"/>
      <c r="G135" s="128"/>
    </row>
    <row r="136" ht="15.75" customHeight="1">
      <c r="D136" s="127"/>
      <c r="G136" s="128"/>
    </row>
    <row r="137" ht="15.75" customHeight="1">
      <c r="D137" s="127"/>
      <c r="G137" s="128"/>
    </row>
    <row r="138" ht="15.75" customHeight="1">
      <c r="D138" s="127"/>
      <c r="G138" s="128"/>
    </row>
    <row r="139" ht="15.75" customHeight="1">
      <c r="D139" s="127"/>
      <c r="G139" s="128"/>
    </row>
    <row r="140" ht="15.75" customHeight="1">
      <c r="D140" s="127"/>
      <c r="G140" s="128"/>
    </row>
    <row r="141" ht="15.75" customHeight="1">
      <c r="D141" s="127"/>
      <c r="G141" s="128"/>
    </row>
    <row r="142" ht="15.75" customHeight="1">
      <c r="D142" s="127"/>
      <c r="G142" s="128"/>
    </row>
    <row r="143" ht="15.75" customHeight="1">
      <c r="D143" s="127"/>
      <c r="G143" s="128"/>
    </row>
    <row r="144" ht="15.75" customHeight="1">
      <c r="D144" s="127"/>
      <c r="G144" s="128"/>
    </row>
    <row r="145" ht="15.75" customHeight="1">
      <c r="D145" s="127"/>
      <c r="G145" s="128"/>
    </row>
    <row r="146" ht="15.75" customHeight="1">
      <c r="D146" s="127"/>
      <c r="G146" s="128"/>
    </row>
    <row r="147" ht="15.75" customHeight="1">
      <c r="D147" s="127"/>
      <c r="G147" s="128"/>
    </row>
    <row r="148" ht="15.75" customHeight="1">
      <c r="D148" s="127"/>
      <c r="G148" s="128"/>
    </row>
    <row r="149" ht="15.75" customHeight="1">
      <c r="D149" s="127"/>
      <c r="G149" s="128"/>
    </row>
    <row r="150" ht="15.75" customHeight="1">
      <c r="D150" s="127"/>
      <c r="G150" s="128"/>
    </row>
    <row r="151" ht="15.75" customHeight="1">
      <c r="D151" s="127"/>
      <c r="G151" s="128"/>
    </row>
    <row r="152" ht="15.75" customHeight="1">
      <c r="D152" s="127"/>
      <c r="G152" s="128"/>
    </row>
    <row r="153" ht="15.75" customHeight="1">
      <c r="D153" s="127"/>
      <c r="G153" s="128"/>
    </row>
    <row r="154" ht="15.75" customHeight="1">
      <c r="D154" s="127"/>
      <c r="G154" s="128"/>
    </row>
    <row r="155" ht="15.75" customHeight="1">
      <c r="D155" s="127"/>
      <c r="G155" s="128"/>
    </row>
    <row r="156" ht="15.75" customHeight="1">
      <c r="D156" s="127"/>
      <c r="G156" s="128"/>
    </row>
    <row r="157" ht="15.75" customHeight="1">
      <c r="D157" s="127"/>
      <c r="G157" s="128"/>
    </row>
    <row r="158" ht="15.75" customHeight="1">
      <c r="D158" s="127"/>
      <c r="G158" s="128"/>
    </row>
    <row r="159" ht="15.75" customHeight="1">
      <c r="D159" s="127"/>
      <c r="G159" s="128"/>
    </row>
    <row r="160" ht="15.75" customHeight="1">
      <c r="D160" s="127"/>
      <c r="G160" s="128"/>
    </row>
    <row r="161" ht="15.75" customHeight="1">
      <c r="D161" s="127"/>
      <c r="G161" s="128"/>
    </row>
    <row r="162" ht="15.75" customHeight="1">
      <c r="D162" s="127"/>
      <c r="G162" s="128"/>
    </row>
    <row r="163" ht="15.75" customHeight="1">
      <c r="D163" s="127"/>
      <c r="G163" s="128"/>
    </row>
    <row r="164" ht="15.75" customHeight="1">
      <c r="D164" s="127"/>
      <c r="G164" s="128"/>
    </row>
    <row r="165" ht="15.75" customHeight="1">
      <c r="D165" s="127"/>
      <c r="G165" s="128"/>
    </row>
    <row r="166" ht="15.75" customHeight="1">
      <c r="D166" s="127"/>
      <c r="G166" s="128"/>
    </row>
    <row r="167" ht="15.75" customHeight="1">
      <c r="D167" s="127"/>
      <c r="G167" s="128"/>
    </row>
    <row r="168" ht="15.75" customHeight="1">
      <c r="D168" s="127"/>
      <c r="G168" s="128"/>
    </row>
    <row r="169" ht="15.75" customHeight="1">
      <c r="D169" s="127"/>
      <c r="G169" s="128"/>
    </row>
    <row r="170" ht="15.75" customHeight="1">
      <c r="D170" s="127"/>
      <c r="G170" s="128"/>
    </row>
    <row r="171" ht="15.75" customHeight="1">
      <c r="D171" s="127"/>
      <c r="G171" s="128"/>
    </row>
    <row r="172" ht="15.75" customHeight="1">
      <c r="D172" s="127"/>
      <c r="G172" s="128"/>
    </row>
    <row r="173" ht="15.75" customHeight="1">
      <c r="D173" s="127"/>
      <c r="G173" s="128"/>
    </row>
    <row r="174" ht="15.75" customHeight="1">
      <c r="D174" s="127"/>
      <c r="G174" s="128"/>
    </row>
    <row r="175" ht="15.75" customHeight="1">
      <c r="D175" s="127"/>
      <c r="G175" s="128"/>
    </row>
    <row r="176" ht="15.75" customHeight="1">
      <c r="D176" s="127"/>
      <c r="G176" s="128"/>
    </row>
    <row r="177" ht="15.75" customHeight="1">
      <c r="D177" s="127"/>
      <c r="G177" s="128"/>
    </row>
    <row r="178" ht="15.75" customHeight="1">
      <c r="D178" s="127"/>
      <c r="G178" s="128"/>
    </row>
    <row r="179" ht="15.75" customHeight="1">
      <c r="D179" s="127"/>
      <c r="G179" s="128"/>
    </row>
    <row r="180" ht="15.75" customHeight="1">
      <c r="D180" s="127"/>
      <c r="G180" s="128"/>
    </row>
    <row r="181" ht="15.75" customHeight="1">
      <c r="D181" s="127"/>
      <c r="G181" s="128"/>
    </row>
    <row r="182" ht="15.75" customHeight="1">
      <c r="D182" s="127"/>
      <c r="G182" s="128"/>
    </row>
    <row r="183" ht="15.75" customHeight="1">
      <c r="D183" s="127"/>
      <c r="G183" s="128"/>
    </row>
    <row r="184" ht="15.75" customHeight="1">
      <c r="D184" s="127"/>
      <c r="G184" s="128"/>
    </row>
    <row r="185" ht="15.75" customHeight="1">
      <c r="D185" s="127"/>
      <c r="G185" s="128"/>
    </row>
    <row r="186" ht="15.75" customHeight="1">
      <c r="D186" s="127"/>
      <c r="G186" s="128"/>
    </row>
    <row r="187" ht="15.75" customHeight="1">
      <c r="D187" s="127"/>
      <c r="G187" s="128"/>
    </row>
    <row r="188" ht="15.75" customHeight="1">
      <c r="D188" s="127"/>
      <c r="G188" s="128"/>
    </row>
    <row r="189" ht="15.75" customHeight="1">
      <c r="D189" s="127"/>
      <c r="G189" s="128"/>
    </row>
    <row r="190" ht="15.75" customHeight="1">
      <c r="D190" s="127"/>
      <c r="G190" s="128"/>
    </row>
    <row r="191" ht="15.75" customHeight="1">
      <c r="D191" s="127"/>
      <c r="G191" s="128"/>
    </row>
    <row r="192" ht="15.75" customHeight="1">
      <c r="D192" s="127"/>
      <c r="G192" s="128"/>
    </row>
    <row r="193" ht="15.75" customHeight="1">
      <c r="D193" s="127"/>
      <c r="G193" s="128"/>
    </row>
    <row r="194" ht="15.75" customHeight="1">
      <c r="D194" s="127"/>
      <c r="G194" s="128"/>
    </row>
    <row r="195" ht="15.75" customHeight="1">
      <c r="D195" s="127"/>
      <c r="G195" s="128"/>
    </row>
    <row r="196" ht="15.75" customHeight="1">
      <c r="D196" s="127"/>
      <c r="G196" s="128"/>
    </row>
    <row r="197" ht="15.75" customHeight="1">
      <c r="D197" s="127"/>
      <c r="G197" s="128"/>
    </row>
    <row r="198" ht="15.75" customHeight="1">
      <c r="D198" s="127"/>
      <c r="G198" s="128"/>
    </row>
    <row r="199" ht="15.75" customHeight="1">
      <c r="D199" s="127"/>
      <c r="G199" s="128"/>
    </row>
    <row r="200" ht="15.75" customHeight="1">
      <c r="D200" s="127"/>
      <c r="G200" s="128"/>
    </row>
    <row r="201" ht="15.75" customHeight="1">
      <c r="D201" s="127"/>
      <c r="G201" s="128"/>
    </row>
    <row r="202" ht="15.75" customHeight="1">
      <c r="D202" s="127"/>
      <c r="G202" s="128"/>
    </row>
    <row r="203" ht="15.75" customHeight="1">
      <c r="D203" s="127"/>
      <c r="G203" s="128"/>
    </row>
    <row r="204" ht="15.75" customHeight="1">
      <c r="D204" s="127"/>
      <c r="G204" s="128"/>
    </row>
    <row r="205" ht="15.75" customHeight="1">
      <c r="D205" s="127"/>
      <c r="G205" s="128"/>
    </row>
    <row r="206" ht="15.75" customHeight="1">
      <c r="D206" s="127"/>
      <c r="G206" s="128"/>
    </row>
    <row r="207" ht="15.75" customHeight="1">
      <c r="D207" s="127"/>
      <c r="G207" s="128"/>
    </row>
    <row r="208" ht="15.75" customHeight="1">
      <c r="D208" s="127"/>
      <c r="G208" s="128"/>
    </row>
    <row r="209" ht="15.75" customHeight="1">
      <c r="D209" s="127"/>
      <c r="G209" s="128"/>
    </row>
    <row r="210" ht="15.75" customHeight="1">
      <c r="D210" s="127"/>
      <c r="G210" s="128"/>
    </row>
    <row r="211" ht="15.75" customHeight="1">
      <c r="D211" s="127"/>
      <c r="G211" s="128"/>
    </row>
    <row r="212" ht="15.75" customHeight="1">
      <c r="D212" s="127"/>
      <c r="G212" s="128"/>
    </row>
    <row r="213" ht="15.75" customHeight="1">
      <c r="D213" s="127"/>
      <c r="G213" s="128"/>
    </row>
    <row r="214" ht="15.75" customHeight="1">
      <c r="D214" s="127"/>
      <c r="G214" s="128"/>
    </row>
    <row r="215" ht="15.75" customHeight="1">
      <c r="D215" s="127"/>
      <c r="G215" s="128"/>
    </row>
    <row r="216" ht="15.75" customHeight="1">
      <c r="D216" s="127"/>
      <c r="G216" s="128"/>
    </row>
    <row r="217" ht="15.75" customHeight="1">
      <c r="D217" s="127"/>
      <c r="G217" s="128"/>
    </row>
    <row r="218" ht="15.75" customHeight="1">
      <c r="D218" s="127"/>
      <c r="G218" s="128"/>
    </row>
    <row r="219" ht="15.75" customHeight="1">
      <c r="D219" s="127"/>
      <c r="G219" s="128"/>
    </row>
    <row r="220" ht="15.75" customHeight="1">
      <c r="D220" s="127"/>
      <c r="G220" s="128"/>
    </row>
    <row r="221" ht="15.75" customHeight="1">
      <c r="D221" s="127"/>
      <c r="G221" s="128"/>
    </row>
    <row r="222" ht="15.75" customHeight="1">
      <c r="D222" s="127"/>
      <c r="G222" s="128"/>
    </row>
    <row r="223" ht="15.75" customHeight="1">
      <c r="D223" s="127"/>
      <c r="G223" s="128"/>
    </row>
    <row r="224" ht="15.75" customHeight="1">
      <c r="D224" s="127"/>
      <c r="G224" s="128"/>
    </row>
    <row r="225" ht="15.75" customHeight="1">
      <c r="D225" s="127"/>
      <c r="G225" s="128"/>
    </row>
    <row r="226" ht="15.75" customHeight="1">
      <c r="D226" s="127"/>
      <c r="G226" s="128"/>
    </row>
    <row r="227" ht="15.75" customHeight="1">
      <c r="D227" s="127"/>
      <c r="G227" s="128"/>
    </row>
    <row r="228" ht="15.75" customHeight="1">
      <c r="D228" s="127"/>
      <c r="G228" s="128"/>
    </row>
    <row r="229" ht="15.75" customHeight="1">
      <c r="D229" s="127"/>
      <c r="G229" s="128"/>
    </row>
    <row r="230" ht="15.75" customHeight="1">
      <c r="D230" s="127"/>
      <c r="G230" s="128"/>
    </row>
    <row r="231" ht="15.75" customHeight="1">
      <c r="D231" s="127"/>
      <c r="G231" s="128"/>
    </row>
    <row r="232" ht="15.75" customHeight="1">
      <c r="D232" s="127"/>
      <c r="G232" s="128"/>
    </row>
    <row r="233" ht="15.75" customHeight="1">
      <c r="D233" s="127"/>
      <c r="G233" s="128"/>
    </row>
    <row r="234" ht="15.75" customHeight="1">
      <c r="D234" s="127"/>
      <c r="G234" s="128"/>
    </row>
    <row r="235" ht="15.75" customHeight="1">
      <c r="D235" s="127"/>
      <c r="G235" s="128"/>
    </row>
    <row r="236" ht="15.75" customHeight="1">
      <c r="D236" s="127"/>
      <c r="G236" s="128"/>
    </row>
    <row r="237" ht="15.75" customHeight="1">
      <c r="D237" s="127"/>
      <c r="G237" s="128"/>
    </row>
    <row r="238" ht="15.75" customHeight="1">
      <c r="D238" s="127"/>
      <c r="G238" s="128"/>
    </row>
    <row r="239" ht="15.75" customHeight="1">
      <c r="D239" s="127"/>
      <c r="G239" s="128"/>
    </row>
    <row r="240" ht="15.75" customHeight="1">
      <c r="D240" s="127"/>
      <c r="G240" s="128"/>
    </row>
    <row r="241" ht="15.75" customHeight="1">
      <c r="D241" s="127"/>
      <c r="G241" s="128"/>
    </row>
    <row r="242" ht="15.75" customHeight="1">
      <c r="D242" s="127"/>
      <c r="G242" s="128"/>
    </row>
    <row r="243" ht="15.75" customHeight="1">
      <c r="D243" s="127"/>
      <c r="G243" s="128"/>
    </row>
    <row r="244" ht="15.75" customHeight="1">
      <c r="D244" s="127"/>
      <c r="G244" s="128"/>
    </row>
    <row r="245" ht="15.75" customHeight="1">
      <c r="D245" s="127"/>
      <c r="G245" s="128"/>
    </row>
    <row r="246" ht="15.75" customHeight="1">
      <c r="D246" s="127"/>
      <c r="G246" s="128"/>
    </row>
    <row r="247" ht="15.75" customHeight="1">
      <c r="D247" s="127"/>
      <c r="G247" s="128"/>
    </row>
    <row r="248" ht="15.75" customHeight="1">
      <c r="D248" s="127"/>
      <c r="G248" s="128"/>
    </row>
    <row r="249" ht="15.75" customHeight="1">
      <c r="D249" s="127"/>
      <c r="G249" s="128"/>
    </row>
    <row r="250" ht="15.75" customHeight="1">
      <c r="D250" s="127"/>
      <c r="G250" s="128"/>
    </row>
    <row r="251" ht="15.75" customHeight="1">
      <c r="D251" s="127"/>
      <c r="G251" s="128"/>
    </row>
    <row r="252" ht="15.75" customHeight="1">
      <c r="D252" s="127"/>
      <c r="G252" s="128"/>
    </row>
    <row r="253" ht="15.75" customHeight="1">
      <c r="D253" s="127"/>
      <c r="G253" s="128"/>
    </row>
    <row r="254" ht="15.75" customHeight="1">
      <c r="D254" s="127"/>
      <c r="G254" s="128"/>
    </row>
    <row r="255" ht="15.75" customHeight="1">
      <c r="D255" s="127"/>
      <c r="G255" s="128"/>
    </row>
    <row r="256" ht="15.75" customHeight="1">
      <c r="D256" s="127"/>
      <c r="G256" s="128"/>
    </row>
    <row r="257" ht="15.75" customHeight="1">
      <c r="D257" s="127"/>
      <c r="G257" s="128"/>
    </row>
    <row r="258" ht="15.75" customHeight="1">
      <c r="D258" s="127"/>
      <c r="G258" s="128"/>
    </row>
    <row r="259" ht="15.75" customHeight="1">
      <c r="D259" s="127"/>
      <c r="G259" s="128"/>
    </row>
    <row r="260" ht="15.75" customHeight="1">
      <c r="D260" s="127"/>
      <c r="G260" s="128"/>
    </row>
    <row r="261" ht="15.75" customHeight="1">
      <c r="D261" s="127"/>
      <c r="G261" s="128"/>
    </row>
    <row r="262" ht="15.75" customHeight="1">
      <c r="D262" s="127"/>
      <c r="G262" s="128"/>
    </row>
    <row r="263" ht="15.75" customHeight="1">
      <c r="D263" s="127"/>
      <c r="G263" s="128"/>
    </row>
    <row r="264" ht="15.75" customHeight="1">
      <c r="D264" s="127"/>
      <c r="G264" s="128"/>
    </row>
    <row r="265" ht="15.75" customHeight="1">
      <c r="D265" s="127"/>
      <c r="G265" s="128"/>
    </row>
    <row r="266" ht="15.75" customHeight="1">
      <c r="D266" s="127"/>
      <c r="G266" s="128"/>
    </row>
    <row r="267" ht="15.75" customHeight="1">
      <c r="D267" s="127"/>
      <c r="G267" s="128"/>
    </row>
    <row r="268" ht="15.75" customHeight="1">
      <c r="D268" s="127"/>
      <c r="G268" s="128"/>
    </row>
    <row r="269" ht="15.75" customHeight="1">
      <c r="D269" s="127"/>
      <c r="G269" s="128"/>
    </row>
    <row r="270" ht="15.75" customHeight="1">
      <c r="D270" s="127"/>
      <c r="G270" s="128"/>
    </row>
    <row r="271" ht="15.75" customHeight="1">
      <c r="D271" s="127"/>
      <c r="G271" s="128"/>
    </row>
    <row r="272" ht="15.75" customHeight="1">
      <c r="D272" s="127"/>
      <c r="G272" s="128"/>
    </row>
    <row r="273" ht="15.75" customHeight="1">
      <c r="D273" s="127"/>
      <c r="G273" s="128"/>
    </row>
    <row r="274" ht="15.75" customHeight="1">
      <c r="D274" s="127"/>
      <c r="G274" s="128"/>
    </row>
    <row r="275" ht="15.75" customHeight="1">
      <c r="D275" s="127"/>
      <c r="G275" s="128"/>
    </row>
    <row r="276" ht="15.75" customHeight="1">
      <c r="D276" s="127"/>
      <c r="G276" s="128"/>
    </row>
    <row r="277" ht="15.75" customHeight="1">
      <c r="D277" s="127"/>
      <c r="G277" s="128"/>
    </row>
    <row r="278" ht="15.75" customHeight="1">
      <c r="D278" s="127"/>
      <c r="G278" s="128"/>
    </row>
    <row r="279" ht="15.75" customHeight="1">
      <c r="D279" s="127"/>
      <c r="G279" s="128"/>
    </row>
    <row r="280" ht="15.75" customHeight="1">
      <c r="D280" s="127"/>
      <c r="G280" s="128"/>
    </row>
    <row r="281" ht="15.75" customHeight="1">
      <c r="D281" s="127"/>
      <c r="G281" s="128"/>
    </row>
    <row r="282" ht="15.75" customHeight="1">
      <c r="D282" s="127"/>
      <c r="G282" s="128"/>
    </row>
    <row r="283" ht="15.75" customHeight="1">
      <c r="D283" s="127"/>
      <c r="G283" s="128"/>
    </row>
    <row r="284" ht="15.75" customHeight="1">
      <c r="D284" s="127"/>
      <c r="G284" s="128"/>
    </row>
    <row r="285" ht="15.75" customHeight="1">
      <c r="D285" s="127"/>
      <c r="G285" s="128"/>
    </row>
    <row r="286" ht="15.75" customHeight="1">
      <c r="D286" s="127"/>
      <c r="G286" s="128"/>
    </row>
    <row r="287" ht="15.75" customHeight="1">
      <c r="D287" s="127"/>
      <c r="G287" s="128"/>
    </row>
    <row r="288" ht="15.75" customHeight="1">
      <c r="D288" s="127"/>
      <c r="G288" s="128"/>
    </row>
    <row r="289" ht="15.75" customHeight="1">
      <c r="D289" s="127"/>
      <c r="G289" s="128"/>
    </row>
    <row r="290" ht="15.75" customHeight="1">
      <c r="D290" s="127"/>
      <c r="G290" s="128"/>
    </row>
    <row r="291" ht="15.75" customHeight="1">
      <c r="D291" s="127"/>
      <c r="G291" s="128"/>
    </row>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L$74"/>
  <mergeCells count="3">
    <mergeCell ref="B1:M1"/>
    <mergeCell ref="A84:B84"/>
    <mergeCell ref="A85:B85"/>
  </mergeCells>
  <conditionalFormatting sqref="A86:A91">
    <cfRule type="beginsWith" dxfId="0" priority="1" operator="beginsWith" text="P">
      <formula>LEFT((A86),LEN("P"))=("P")</formula>
    </cfRule>
  </conditionalFormatting>
  <conditionalFormatting sqref="A86:A91">
    <cfRule type="containsText" dxfId="1" priority="2" operator="containsText" text="N-P">
      <formula>NOT(ISERROR(SEARCH(("N-P"),(A86))))</formula>
    </cfRule>
  </conditionalFormatting>
  <conditionalFormatting sqref="A86:A91">
    <cfRule type="containsText" dxfId="2" priority="3" operator="containsText" text="R">
      <formula>NOT(ISERROR(SEARCH(("R"),(A86))))</formula>
    </cfRule>
  </conditionalFormatting>
  <conditionalFormatting sqref="A86:A91">
    <cfRule type="containsText" dxfId="3" priority="4" operator="containsText" text="A-S">
      <formula>NOT(ISERROR(SEARCH(("A-S"),(A86))))</formula>
    </cfRule>
  </conditionalFormatting>
  <conditionalFormatting sqref="A86:A91">
    <cfRule type="beginsWith" dxfId="4" priority="5" operator="beginsWith" text="S">
      <formula>LEFT((A86),LEN("S"))=("S")</formula>
    </cfRule>
  </conditionalFormatting>
  <conditionalFormatting sqref="D3:D75">
    <cfRule type="beginsWith" dxfId="0" priority="6" operator="beginsWith" text="P">
      <formula>LEFT((D3),LEN("P"))=("P")</formula>
    </cfRule>
  </conditionalFormatting>
  <conditionalFormatting sqref="D3:D75">
    <cfRule type="containsText" dxfId="1" priority="7" operator="containsText" text="N-P">
      <formula>NOT(ISERROR(SEARCH(("N-P"),(D3))))</formula>
    </cfRule>
  </conditionalFormatting>
  <conditionalFormatting sqref="D3:D75">
    <cfRule type="containsText" dxfId="2" priority="8" operator="containsText" text="R">
      <formula>NOT(ISERROR(SEARCH(("R"),(D3))))</formula>
    </cfRule>
  </conditionalFormatting>
  <conditionalFormatting sqref="D3:D75">
    <cfRule type="containsText" dxfId="3" priority="9" operator="containsText" text="A-S">
      <formula>NOT(ISERROR(SEARCH(("A-S"),(D3))))</formula>
    </cfRule>
  </conditionalFormatting>
  <conditionalFormatting sqref="D3:D75">
    <cfRule type="beginsWith" dxfId="4" priority="10" operator="beginsWith" text="S">
      <formula>LEFT((D3),LEN("S"))=("S")</formula>
    </cfRule>
  </conditionalFormatting>
  <conditionalFormatting sqref="I6:I7 I9:I11 I13:I14 I16:I24 I27 I30 I32:I33 I41:I43 I47 I50:I51 I53:I59 I62 I67:I68 I70:I72">
    <cfRule type="cellIs" dxfId="5" priority="11" operator="lessThan">
      <formula>45698</formula>
    </cfRule>
  </conditionalFormatting>
  <dataValidations>
    <dataValidation type="list" allowBlank="1" showErrorMessage="1" sqref="D3:D74">
      <formula1>'17025 SAL'!$A$207:$A$212</formula1>
    </dataValidation>
  </dataValidations>
  <hyperlinks>
    <hyperlink r:id="rId4" ref="M5"/>
    <hyperlink r:id="rId5" ref="M6"/>
    <hyperlink r:id="rId6" ref="N6"/>
    <hyperlink r:id="rId7" ref="U6"/>
    <hyperlink r:id="rId8" ref="AB6"/>
    <hyperlink r:id="rId9" ref="AI6"/>
    <hyperlink r:id="rId10" ref="M7"/>
    <hyperlink r:id="rId11" ref="AD7"/>
    <hyperlink r:id="rId12" ref="AI7"/>
    <hyperlink r:id="rId13" ref="M8"/>
    <hyperlink r:id="rId14" ref="N8"/>
    <hyperlink r:id="rId15" ref="M9"/>
    <hyperlink r:id="rId16" ref="N9"/>
    <hyperlink r:id="rId17" ref="M13"/>
    <hyperlink r:id="rId18" ref="N13"/>
    <hyperlink r:id="rId19" ref="M14"/>
    <hyperlink r:id="rId20" ref="N14"/>
    <hyperlink r:id="rId21" ref="M16"/>
    <hyperlink r:id="rId22" ref="M17"/>
    <hyperlink r:id="rId23" ref="AI17"/>
    <hyperlink r:id="rId24" ref="M20"/>
    <hyperlink r:id="rId25" ref="M21"/>
    <hyperlink r:id="rId26" ref="N22"/>
    <hyperlink r:id="rId27" ref="M23"/>
    <hyperlink r:id="rId28" ref="N23"/>
    <hyperlink r:id="rId29" ref="AI23"/>
    <hyperlink r:id="rId30" ref="M24"/>
    <hyperlink r:id="rId31" ref="N24"/>
    <hyperlink r:id="rId32" ref="M25"/>
    <hyperlink r:id="rId33" ref="N25"/>
    <hyperlink r:id="rId34" ref="M27"/>
    <hyperlink r:id="rId35" ref="N27"/>
    <hyperlink r:id="rId36" ref="M30"/>
    <hyperlink r:id="rId37" ref="N30"/>
    <hyperlink r:id="rId38" ref="M31"/>
    <hyperlink r:id="rId39" ref="M32"/>
    <hyperlink r:id="rId40" ref="N32"/>
    <hyperlink r:id="rId41" ref="AI32"/>
    <hyperlink r:id="rId42" ref="N33"/>
    <hyperlink r:id="rId43" ref="U38"/>
    <hyperlink r:id="rId44" ref="M41"/>
    <hyperlink r:id="rId45" ref="N41"/>
    <hyperlink r:id="rId46" ref="AI41"/>
    <hyperlink r:id="rId47" ref="N43"/>
    <hyperlink r:id="rId48" ref="N44"/>
    <hyperlink r:id="rId49" ref="M45"/>
    <hyperlink r:id="rId50" ref="N45"/>
    <hyperlink r:id="rId51" ref="U45"/>
    <hyperlink r:id="rId52" ref="M47"/>
    <hyperlink r:id="rId53" ref="U47"/>
    <hyperlink r:id="rId54" ref="M48"/>
    <hyperlink r:id="rId55" ref="N48"/>
    <hyperlink r:id="rId56" ref="M49"/>
    <hyperlink r:id="rId57" ref="U49"/>
    <hyperlink r:id="rId58" ref="M50"/>
    <hyperlink r:id="rId59" ref="N50"/>
    <hyperlink r:id="rId60" ref="M51"/>
    <hyperlink r:id="rId61" ref="U51"/>
    <hyperlink r:id="rId62" ref="AI51"/>
    <hyperlink r:id="rId63" ref="M52"/>
    <hyperlink r:id="rId64" ref="N52"/>
    <hyperlink r:id="rId65" ref="U52"/>
    <hyperlink r:id="rId66" ref="M53"/>
    <hyperlink r:id="rId67" ref="N53"/>
    <hyperlink r:id="rId68" ref="AI53"/>
    <hyperlink r:id="rId69" ref="M55"/>
    <hyperlink r:id="rId70" ref="N55"/>
    <hyperlink r:id="rId71" ref="N56"/>
    <hyperlink r:id="rId72" ref="M58"/>
    <hyperlink r:id="rId73" ref="N58"/>
    <hyperlink r:id="rId74" ref="U58"/>
    <hyperlink r:id="rId75" ref="AI58"/>
    <hyperlink r:id="rId76" ref="M59"/>
    <hyperlink r:id="rId77" ref="N59"/>
    <hyperlink r:id="rId78" ref="U59"/>
    <hyperlink r:id="rId79" ref="M60"/>
    <hyperlink r:id="rId80" ref="N60"/>
    <hyperlink r:id="rId81" ref="AI60"/>
    <hyperlink r:id="rId82" ref="N61"/>
    <hyperlink r:id="rId83" ref="M62"/>
    <hyperlink r:id="rId84" ref="N62"/>
    <hyperlink r:id="rId85" ref="AI62"/>
    <hyperlink r:id="rId86" ref="M63"/>
    <hyperlink r:id="rId87" ref="N63"/>
    <hyperlink r:id="rId88" ref="AI63"/>
    <hyperlink r:id="rId89" ref="M64"/>
    <hyperlink r:id="rId90" ref="N64"/>
    <hyperlink r:id="rId91" ref="M65"/>
    <hyperlink r:id="rId92" ref="N65"/>
    <hyperlink r:id="rId93" ref="AI65"/>
    <hyperlink r:id="rId94" ref="M67"/>
    <hyperlink r:id="rId95" ref="N67"/>
    <hyperlink r:id="rId96" ref="AB67"/>
    <hyperlink r:id="rId97" ref="AI67"/>
    <hyperlink r:id="rId98" ref="U69"/>
    <hyperlink r:id="rId99" ref="U70"/>
    <hyperlink r:id="rId100" ref="AB70"/>
    <hyperlink r:id="rId101" ref="AI70"/>
    <hyperlink r:id="rId102" ref="AI71"/>
    <hyperlink r:id="rId103" ref="AB72"/>
    <hyperlink r:id="rId104" ref="AI72"/>
  </hyperlinks>
  <printOptions/>
  <pageMargins bottom="0.75" footer="0.0" header="0.0" left="0.7" right="0.7" top="0.75"/>
  <pageSetup orientation="landscape"/>
  <drawing r:id="rId105"/>
  <legacyDrawing r:id="rId10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5A5A5"/>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43.57"/>
    <col customWidth="1" min="2" max="2" width="40.86"/>
    <col customWidth="1" min="3" max="3" width="13.57"/>
    <col customWidth="1" min="4" max="4" width="11.29"/>
    <col customWidth="1" min="5" max="5" width="11.57"/>
    <col customWidth="1" min="6" max="6" width="17.86"/>
    <col customWidth="1" min="7" max="7" width="20.43"/>
    <col customWidth="1" min="8" max="8" width="21.0"/>
    <col customWidth="1" min="9" max="9" width="21.14"/>
    <col customWidth="1" min="10" max="10" width="19.57"/>
    <col customWidth="1" min="11" max="11" width="21.71"/>
    <col customWidth="1" min="12" max="12" width="38.86"/>
    <col customWidth="1" min="13" max="14" width="31.0"/>
    <col customWidth="1" min="15" max="15" width="13.0"/>
    <col customWidth="1" min="16" max="16" width="12.29"/>
    <col customWidth="1" min="17" max="17" width="12.43"/>
    <col customWidth="1" min="18" max="18" width="32.0"/>
    <col customWidth="1" min="19" max="19" width="13.86"/>
    <col customWidth="1" min="20" max="20" width="22.29"/>
    <col customWidth="1" min="21" max="21" width="26.14"/>
    <col customWidth="1" min="22" max="22" width="31.43"/>
    <col customWidth="1" min="23" max="23" width="19.14"/>
    <col customWidth="1" min="24" max="24" width="17.14"/>
    <col customWidth="1" min="25" max="25" width="18.57"/>
    <col customWidth="1" min="26" max="26" width="32.71"/>
    <col customWidth="1" min="27" max="27" width="42.14"/>
    <col customWidth="1" min="28" max="28" width="26.43"/>
    <col customWidth="1" min="29" max="29" width="23.86"/>
    <col customWidth="1" min="30" max="30" width="31.57"/>
    <col customWidth="1" min="31" max="31" width="11.71"/>
    <col customWidth="1" min="32" max="32" width="14.57"/>
    <col customWidth="1" min="33" max="33" width="25.14"/>
    <col customWidth="1" min="34" max="34" width="12.29"/>
    <col customWidth="1" min="35" max="35" width="25.57"/>
    <col customWidth="1" min="36" max="36" width="15.14"/>
    <col customWidth="1" min="37" max="37" width="12.86"/>
    <col customWidth="1" min="38" max="38" width="31.0"/>
    <col customWidth="1" min="39" max="41" width="10.71"/>
  </cols>
  <sheetData>
    <row r="1" ht="50.25" customHeight="1">
      <c r="A1" s="130"/>
      <c r="B1" s="14" t="s">
        <v>4224</v>
      </c>
      <c r="C1" s="10"/>
      <c r="D1" s="10"/>
      <c r="E1" s="10"/>
      <c r="F1" s="10"/>
      <c r="G1" s="10"/>
      <c r="H1" s="10"/>
      <c r="I1" s="10"/>
      <c r="J1" s="10"/>
      <c r="K1" s="10"/>
      <c r="L1" s="10"/>
      <c r="M1" s="131"/>
      <c r="N1" s="131"/>
      <c r="O1" s="131"/>
      <c r="P1" s="131"/>
      <c r="Q1" s="131"/>
      <c r="R1" s="131"/>
      <c r="S1" s="131"/>
      <c r="T1" s="131"/>
      <c r="U1" s="131"/>
      <c r="V1" s="131"/>
      <c r="W1" s="131"/>
      <c r="X1" s="131"/>
      <c r="Y1" s="131"/>
      <c r="Z1" s="131"/>
      <c r="AA1" s="131"/>
      <c r="AB1" s="131"/>
      <c r="AC1" s="131"/>
      <c r="AD1" s="131"/>
      <c r="AE1" s="131"/>
      <c r="AF1" s="131"/>
      <c r="AG1" s="131"/>
      <c r="AH1" s="131"/>
      <c r="AI1" s="131"/>
      <c r="AJ1" s="131"/>
      <c r="AK1" s="131"/>
      <c r="AL1" s="132"/>
      <c r="AM1" s="132"/>
      <c r="AN1" s="132"/>
      <c r="AO1" s="132"/>
    </row>
    <row r="2" ht="51.75" customHeight="1">
      <c r="A2" s="18" t="s">
        <v>8</v>
      </c>
      <c r="B2" s="18" t="s">
        <v>9</v>
      </c>
      <c r="C2" s="18" t="s">
        <v>10</v>
      </c>
      <c r="D2" s="18" t="s">
        <v>11</v>
      </c>
      <c r="E2" s="18" t="s">
        <v>12</v>
      </c>
      <c r="F2" s="18" t="s">
        <v>13</v>
      </c>
      <c r="G2" s="18" t="s">
        <v>14</v>
      </c>
      <c r="H2" s="18" t="s">
        <v>15</v>
      </c>
      <c r="I2" s="18" t="s">
        <v>16</v>
      </c>
      <c r="J2" s="18" t="s">
        <v>17</v>
      </c>
      <c r="K2" s="18" t="s">
        <v>18</v>
      </c>
      <c r="L2" s="18" t="s">
        <v>3278</v>
      </c>
      <c r="M2" s="18" t="s">
        <v>20</v>
      </c>
      <c r="N2" s="18" t="s">
        <v>21</v>
      </c>
      <c r="O2" s="18" t="s">
        <v>22</v>
      </c>
      <c r="P2" s="18" t="s">
        <v>23</v>
      </c>
      <c r="Q2" s="18" t="s">
        <v>24</v>
      </c>
      <c r="R2" s="18" t="s">
        <v>25</v>
      </c>
      <c r="S2" s="18" t="s">
        <v>26</v>
      </c>
      <c r="T2" s="18" t="s">
        <v>27</v>
      </c>
      <c r="U2" s="18" t="s">
        <v>28</v>
      </c>
      <c r="V2" s="18" t="s">
        <v>3279</v>
      </c>
      <c r="W2" s="18" t="s">
        <v>30</v>
      </c>
      <c r="X2" s="18" t="s">
        <v>31</v>
      </c>
      <c r="Y2" s="18" t="s">
        <v>32</v>
      </c>
      <c r="Z2" s="18" t="s">
        <v>33</v>
      </c>
      <c r="AA2" s="18" t="s">
        <v>34</v>
      </c>
      <c r="AB2" s="18" t="s">
        <v>35</v>
      </c>
      <c r="AC2" s="18" t="s">
        <v>36</v>
      </c>
      <c r="AD2" s="18" t="s">
        <v>37</v>
      </c>
      <c r="AE2" s="18" t="s">
        <v>38</v>
      </c>
      <c r="AF2" s="18" t="s">
        <v>39</v>
      </c>
      <c r="AG2" s="18" t="s">
        <v>40</v>
      </c>
      <c r="AH2" s="18" t="s">
        <v>41</v>
      </c>
      <c r="AI2" s="18" t="s">
        <v>42</v>
      </c>
      <c r="AJ2" s="18" t="s">
        <v>3280</v>
      </c>
      <c r="AK2" s="18" t="s">
        <v>44</v>
      </c>
      <c r="AL2" s="18" t="s">
        <v>45</v>
      </c>
      <c r="AM2" s="133"/>
      <c r="AN2" s="133"/>
      <c r="AO2" s="133"/>
    </row>
    <row r="3" ht="60.0" customHeight="1">
      <c r="A3" s="57" t="s">
        <v>4225</v>
      </c>
      <c r="B3" s="57" t="s">
        <v>4226</v>
      </c>
      <c r="C3" s="57" t="s">
        <v>4227</v>
      </c>
      <c r="D3" s="111" t="s">
        <v>48</v>
      </c>
      <c r="E3" s="20" t="s">
        <v>157</v>
      </c>
      <c r="F3" s="20" t="s">
        <v>4228</v>
      </c>
      <c r="G3" s="20" t="s">
        <v>4228</v>
      </c>
      <c r="H3" s="22">
        <v>45841.0</v>
      </c>
      <c r="I3" s="22" t="s">
        <v>76</v>
      </c>
      <c r="J3" s="22">
        <v>43208.0</v>
      </c>
      <c r="K3" s="20" t="s">
        <v>324</v>
      </c>
      <c r="L3" s="53" t="s">
        <v>2085</v>
      </c>
      <c r="M3" s="53" t="s">
        <v>2086</v>
      </c>
      <c r="N3" s="25" t="s">
        <v>2087</v>
      </c>
      <c r="O3" s="20">
        <v>2.2799911E7</v>
      </c>
      <c r="P3" s="20">
        <v>2.2793902E7</v>
      </c>
      <c r="Q3" s="20" t="s">
        <v>55</v>
      </c>
      <c r="R3" s="20" t="s">
        <v>4229</v>
      </c>
      <c r="S3" s="20" t="s">
        <v>104</v>
      </c>
      <c r="T3" s="20" t="s">
        <v>2091</v>
      </c>
      <c r="U3" s="52" t="s">
        <v>4230</v>
      </c>
      <c r="V3" s="20" t="s">
        <v>2093</v>
      </c>
      <c r="W3" s="20" t="s">
        <v>4231</v>
      </c>
      <c r="X3" s="20" t="s">
        <v>84</v>
      </c>
      <c r="Y3" s="20" t="s">
        <v>63</v>
      </c>
      <c r="Z3" s="20" t="s">
        <v>3195</v>
      </c>
      <c r="AA3" s="20" t="s">
        <v>4229</v>
      </c>
      <c r="AB3" s="20"/>
      <c r="AC3" s="20" t="s">
        <v>2095</v>
      </c>
      <c r="AD3" s="20" t="s">
        <v>4232</v>
      </c>
      <c r="AE3" s="20" t="s">
        <v>2097</v>
      </c>
      <c r="AF3" s="20">
        <v>2.2799911E7</v>
      </c>
      <c r="AG3" s="20" t="s">
        <v>4229</v>
      </c>
      <c r="AH3" s="20">
        <v>2.2793902E7</v>
      </c>
      <c r="AI3" s="20" t="s">
        <v>2099</v>
      </c>
      <c r="AJ3" s="20" t="s">
        <v>2100</v>
      </c>
      <c r="AK3" s="20" t="s">
        <v>2081</v>
      </c>
      <c r="AL3" s="20"/>
      <c r="AM3" s="134"/>
      <c r="AN3" s="134"/>
      <c r="AO3" s="134"/>
    </row>
    <row r="4" ht="60.0" customHeight="1">
      <c r="A4" s="20" t="s">
        <v>4233</v>
      </c>
      <c r="B4" s="20" t="s">
        <v>134</v>
      </c>
      <c r="C4" s="20" t="s">
        <v>4227</v>
      </c>
      <c r="D4" s="21" t="s">
        <v>213</v>
      </c>
      <c r="E4" s="20" t="s">
        <v>157</v>
      </c>
      <c r="F4" s="20" t="s">
        <v>4234</v>
      </c>
      <c r="G4" s="20" t="s">
        <v>4234</v>
      </c>
      <c r="H4" s="22">
        <v>45147.0</v>
      </c>
      <c r="I4" s="22">
        <f>'17043 PEA'!$H4+'17025 SAL'!$AN$1</f>
        <v>46607</v>
      </c>
      <c r="J4" s="22">
        <v>44074.0</v>
      </c>
      <c r="K4" s="20" t="s">
        <v>324</v>
      </c>
      <c r="L4" s="20" t="s">
        <v>4235</v>
      </c>
      <c r="M4" s="52" t="s">
        <v>583</v>
      </c>
      <c r="N4" s="52" t="s">
        <v>4236</v>
      </c>
      <c r="O4" s="20" t="s">
        <v>4237</v>
      </c>
      <c r="P4" s="20" t="s">
        <v>4238</v>
      </c>
      <c r="Q4" s="20" t="s">
        <v>2135</v>
      </c>
      <c r="R4" s="20" t="s">
        <v>4239</v>
      </c>
      <c r="S4" s="20" t="s">
        <v>57</v>
      </c>
      <c r="T4" s="20" t="s">
        <v>4240</v>
      </c>
      <c r="U4" s="52" t="s">
        <v>4241</v>
      </c>
      <c r="V4" s="20" t="s">
        <v>3912</v>
      </c>
      <c r="W4" s="20" t="s">
        <v>3913</v>
      </c>
      <c r="X4" s="20" t="s">
        <v>326</v>
      </c>
      <c r="Y4" s="20" t="s">
        <v>264</v>
      </c>
      <c r="Z4" s="20" t="s">
        <v>428</v>
      </c>
      <c r="AA4" s="20" t="s">
        <v>3961</v>
      </c>
      <c r="AB4" s="20"/>
      <c r="AC4" s="20" t="s">
        <v>148</v>
      </c>
      <c r="AD4" s="20" t="s">
        <v>4242</v>
      </c>
      <c r="AE4" s="20" t="s">
        <v>4243</v>
      </c>
      <c r="AF4" s="20" t="s">
        <v>4244</v>
      </c>
      <c r="AG4" s="20" t="s">
        <v>4245</v>
      </c>
      <c r="AH4" s="20" t="s">
        <v>4238</v>
      </c>
      <c r="AI4" s="20" t="s">
        <v>1626</v>
      </c>
      <c r="AJ4" s="20" t="s">
        <v>4246</v>
      </c>
      <c r="AK4" s="20" t="s">
        <v>134</v>
      </c>
      <c r="AL4" s="20" t="s">
        <v>4247</v>
      </c>
      <c r="AM4" s="134"/>
      <c r="AN4" s="134"/>
      <c r="AO4" s="134"/>
    </row>
    <row r="5">
      <c r="A5" s="131"/>
      <c r="B5" s="131"/>
      <c r="C5" s="131"/>
      <c r="D5" s="131"/>
      <c r="E5" s="131"/>
      <c r="F5" s="131"/>
      <c r="G5" s="131"/>
      <c r="H5" s="131"/>
      <c r="I5" s="131"/>
      <c r="J5" s="131"/>
      <c r="K5" s="131"/>
      <c r="L5" s="131"/>
      <c r="M5" s="131"/>
      <c r="N5" s="131"/>
      <c r="O5" s="131"/>
      <c r="P5" s="131"/>
      <c r="Q5" s="131"/>
      <c r="R5" s="131"/>
      <c r="S5" s="131"/>
      <c r="T5" s="131"/>
      <c r="U5" s="131"/>
      <c r="V5" s="131"/>
      <c r="W5" s="131"/>
      <c r="X5" s="131"/>
      <c r="Y5" s="131"/>
      <c r="Z5" s="131"/>
      <c r="AA5" s="131"/>
      <c r="AB5" s="131"/>
      <c r="AC5" s="131"/>
      <c r="AD5" s="131"/>
      <c r="AE5" s="131"/>
      <c r="AF5" s="131"/>
      <c r="AG5" s="131"/>
      <c r="AH5" s="131"/>
      <c r="AI5" s="131"/>
      <c r="AJ5" s="131"/>
      <c r="AK5" s="131"/>
      <c r="AL5" s="131"/>
      <c r="AM5" s="131"/>
      <c r="AN5" s="131"/>
      <c r="AO5" s="131"/>
    </row>
    <row r="6">
      <c r="A6" s="131"/>
      <c r="B6" s="131"/>
      <c r="C6" s="131"/>
      <c r="D6" s="131"/>
      <c r="E6" s="131"/>
      <c r="F6" s="131"/>
      <c r="G6" s="131"/>
      <c r="H6" s="131"/>
      <c r="I6" s="131"/>
      <c r="J6" s="131"/>
      <c r="K6" s="131"/>
      <c r="L6" s="131"/>
      <c r="M6" s="131"/>
      <c r="N6" s="131"/>
      <c r="O6" s="131"/>
      <c r="P6" s="131"/>
      <c r="Q6" s="131"/>
      <c r="R6" s="131"/>
      <c r="S6" s="131"/>
      <c r="T6" s="131"/>
      <c r="U6" s="131"/>
      <c r="V6" s="131"/>
      <c r="W6" s="131"/>
      <c r="X6" s="131"/>
      <c r="Y6" s="131"/>
      <c r="Z6" s="131"/>
      <c r="AA6" s="131"/>
      <c r="AB6" s="131"/>
      <c r="AC6" s="131"/>
      <c r="AD6" s="131"/>
      <c r="AE6" s="131"/>
      <c r="AF6" s="131"/>
      <c r="AG6" s="131"/>
      <c r="AH6" s="131"/>
      <c r="AI6" s="131"/>
      <c r="AJ6" s="131"/>
      <c r="AK6" s="131"/>
      <c r="AL6" s="131"/>
      <c r="AM6" s="131"/>
      <c r="AN6" s="131"/>
      <c r="AO6" s="131"/>
    </row>
    <row r="7" ht="15.0" customHeight="1">
      <c r="A7" s="131"/>
      <c r="B7" s="131"/>
      <c r="C7" s="131"/>
      <c r="D7" s="131"/>
      <c r="E7" s="131"/>
      <c r="F7" s="131"/>
      <c r="G7" s="131"/>
      <c r="H7" s="131"/>
      <c r="I7" s="131"/>
      <c r="J7" s="131"/>
      <c r="K7" s="131"/>
      <c r="L7" s="131"/>
      <c r="M7" s="131"/>
      <c r="N7" s="131"/>
      <c r="O7" s="131"/>
      <c r="P7" s="131"/>
      <c r="Q7" s="131"/>
      <c r="R7" s="131"/>
      <c r="S7" s="131"/>
      <c r="T7" s="131"/>
      <c r="U7" s="131"/>
      <c r="V7" s="131"/>
      <c r="W7" s="131"/>
      <c r="X7" s="131"/>
      <c r="Y7" s="131"/>
      <c r="Z7" s="131"/>
      <c r="AA7" s="131"/>
      <c r="AB7" s="131"/>
      <c r="AC7" s="131"/>
      <c r="AD7" s="131"/>
      <c r="AE7" s="131"/>
      <c r="AF7" s="131"/>
      <c r="AG7" s="131"/>
      <c r="AH7" s="131"/>
      <c r="AI7" s="131"/>
      <c r="AJ7" s="131"/>
      <c r="AK7" s="131"/>
      <c r="AL7" s="131"/>
      <c r="AM7" s="131"/>
      <c r="AN7" s="131"/>
      <c r="AO7" s="131"/>
    </row>
    <row r="8" ht="15.75" customHeight="1">
      <c r="A8" s="131"/>
      <c r="B8" s="131"/>
      <c r="C8" s="131"/>
      <c r="D8" s="131"/>
      <c r="E8" s="131"/>
      <c r="F8" s="131"/>
      <c r="G8" s="131"/>
      <c r="H8" s="131"/>
      <c r="I8" s="131"/>
      <c r="J8" s="131"/>
      <c r="K8" s="131"/>
      <c r="L8" s="131"/>
      <c r="M8" s="131"/>
      <c r="N8" s="131"/>
      <c r="O8" s="131"/>
      <c r="P8" s="131"/>
      <c r="Q8" s="131"/>
      <c r="R8" s="131"/>
      <c r="S8" s="131"/>
      <c r="T8" s="131"/>
      <c r="U8" s="131"/>
      <c r="V8" s="131"/>
      <c r="W8" s="131"/>
      <c r="X8" s="131"/>
      <c r="Y8" s="131"/>
      <c r="Z8" s="131"/>
      <c r="AA8" s="131"/>
      <c r="AB8" s="131"/>
      <c r="AC8" s="131"/>
      <c r="AD8" s="131"/>
      <c r="AE8" s="131"/>
      <c r="AF8" s="131"/>
      <c r="AG8" s="131"/>
      <c r="AH8" s="131"/>
      <c r="AI8" s="131"/>
      <c r="AJ8" s="131"/>
      <c r="AK8" s="131"/>
      <c r="AL8" s="131"/>
      <c r="AM8" s="131"/>
      <c r="AN8" s="131"/>
      <c r="AO8" s="131"/>
    </row>
    <row r="9" ht="15.75" customHeight="1">
      <c r="A9" s="131"/>
      <c r="B9" s="131"/>
      <c r="C9" s="131"/>
      <c r="D9" s="131"/>
      <c r="E9" s="131"/>
      <c r="F9" s="131"/>
      <c r="G9" s="131"/>
      <c r="H9" s="131"/>
      <c r="I9" s="131"/>
      <c r="J9" s="131"/>
      <c r="K9" s="131"/>
      <c r="L9" s="131"/>
      <c r="M9" s="131"/>
      <c r="N9" s="131"/>
      <c r="O9" s="131"/>
      <c r="P9" s="131"/>
      <c r="Q9" s="131"/>
      <c r="R9" s="131"/>
      <c r="S9" s="131"/>
      <c r="T9" s="131"/>
      <c r="U9" s="131"/>
      <c r="V9" s="131"/>
      <c r="W9" s="131"/>
      <c r="X9" s="131"/>
      <c r="Y9" s="131"/>
      <c r="Z9" s="131"/>
      <c r="AA9" s="131"/>
      <c r="AB9" s="131"/>
      <c r="AC9" s="131"/>
      <c r="AD9" s="131"/>
      <c r="AE9" s="131"/>
      <c r="AF9" s="131"/>
      <c r="AG9" s="131"/>
      <c r="AH9" s="131"/>
      <c r="AI9" s="131"/>
      <c r="AJ9" s="131"/>
      <c r="AK9" s="131"/>
      <c r="AL9" s="131"/>
      <c r="AM9" s="131"/>
      <c r="AN9" s="131"/>
      <c r="AO9" s="131"/>
    </row>
    <row r="10" ht="15.75" customHeight="1">
      <c r="A10" s="131"/>
      <c r="B10" s="131"/>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1"/>
      <c r="AF10" s="131"/>
      <c r="AG10" s="131"/>
      <c r="AH10" s="131"/>
      <c r="AI10" s="131"/>
      <c r="AJ10" s="131"/>
      <c r="AK10" s="131"/>
      <c r="AL10" s="131"/>
      <c r="AM10" s="131"/>
      <c r="AN10" s="131"/>
      <c r="AO10" s="131"/>
    </row>
    <row r="11" ht="15.75" customHeight="1">
      <c r="A11" s="101" t="s">
        <v>3266</v>
      </c>
      <c r="C11" s="131"/>
      <c r="D11" s="131"/>
      <c r="E11" s="131"/>
      <c r="F11" s="131"/>
      <c r="G11" s="131"/>
      <c r="H11" s="131"/>
      <c r="I11" s="131"/>
      <c r="J11" s="131"/>
      <c r="K11" s="131"/>
      <c r="L11" s="131"/>
      <c r="M11" s="131"/>
      <c r="N11" s="131"/>
      <c r="O11" s="131"/>
      <c r="P11" s="131"/>
      <c r="Q11" s="131"/>
      <c r="R11" s="131"/>
      <c r="S11" s="131"/>
      <c r="T11" s="131"/>
      <c r="U11" s="131"/>
      <c r="V11" s="131"/>
      <c r="W11" s="131"/>
      <c r="X11" s="131"/>
      <c r="Y11" s="131"/>
      <c r="Z11" s="131"/>
      <c r="AA11" s="131"/>
      <c r="AB11" s="131"/>
      <c r="AC11" s="131"/>
      <c r="AD11" s="131"/>
      <c r="AE11" s="131"/>
      <c r="AF11" s="131"/>
      <c r="AG11" s="131"/>
      <c r="AH11" s="131"/>
      <c r="AI11" s="131"/>
      <c r="AJ11" s="131"/>
      <c r="AK11" s="131"/>
      <c r="AL11" s="131"/>
      <c r="AM11" s="131"/>
      <c r="AN11" s="131"/>
      <c r="AO11" s="131"/>
    </row>
    <row r="12" ht="15.75" customHeight="1">
      <c r="A12" s="102" t="s">
        <v>11</v>
      </c>
      <c r="B12" s="103"/>
      <c r="C12" s="131"/>
      <c r="D12" s="131"/>
      <c r="E12" s="131"/>
      <c r="F12" s="131"/>
      <c r="G12" s="131"/>
      <c r="H12" s="131"/>
      <c r="I12" s="131"/>
      <c r="J12" s="131"/>
      <c r="K12" s="131"/>
      <c r="L12" s="131"/>
      <c r="M12" s="131"/>
      <c r="N12" s="131"/>
      <c r="O12" s="131"/>
      <c r="P12" s="131"/>
      <c r="Q12" s="131"/>
      <c r="R12" s="131"/>
      <c r="S12" s="131"/>
      <c r="T12" s="131"/>
      <c r="U12" s="131"/>
      <c r="V12" s="131"/>
      <c r="W12" s="131"/>
      <c r="X12" s="131"/>
      <c r="Y12" s="131"/>
      <c r="Z12" s="131"/>
      <c r="AA12" s="131"/>
      <c r="AB12" s="131"/>
      <c r="AC12" s="131"/>
      <c r="AD12" s="131"/>
      <c r="AE12" s="131"/>
      <c r="AF12" s="131"/>
      <c r="AG12" s="131"/>
      <c r="AH12" s="131"/>
      <c r="AI12" s="131"/>
      <c r="AJ12" s="131"/>
      <c r="AK12" s="131"/>
      <c r="AL12" s="131"/>
      <c r="AM12" s="131"/>
      <c r="AN12" s="131"/>
      <c r="AO12" s="131"/>
    </row>
    <row r="13" ht="15.75" customHeight="1">
      <c r="A13" s="21" t="s">
        <v>48</v>
      </c>
      <c r="B13" s="104" t="s">
        <v>3267</v>
      </c>
      <c r="C13" s="131"/>
      <c r="D13" s="131"/>
      <c r="E13" s="131"/>
      <c r="F13" s="131"/>
      <c r="G13" s="131"/>
      <c r="H13" s="131"/>
      <c r="I13" s="131"/>
      <c r="J13" s="131"/>
      <c r="K13" s="131"/>
      <c r="L13" s="131"/>
      <c r="M13" s="131"/>
      <c r="N13" s="131"/>
      <c r="O13" s="131"/>
      <c r="P13" s="131"/>
      <c r="Q13" s="131"/>
      <c r="R13" s="131"/>
      <c r="S13" s="131"/>
      <c r="T13" s="131"/>
      <c r="U13" s="131"/>
      <c r="V13" s="131"/>
      <c r="W13" s="131"/>
      <c r="X13" s="131"/>
      <c r="Y13" s="131"/>
      <c r="Z13" s="131"/>
      <c r="AA13" s="131"/>
      <c r="AB13" s="131"/>
      <c r="AC13" s="131"/>
      <c r="AD13" s="131"/>
      <c r="AE13" s="131"/>
      <c r="AF13" s="131"/>
      <c r="AG13" s="131"/>
      <c r="AH13" s="131"/>
      <c r="AI13" s="131"/>
      <c r="AJ13" s="131"/>
      <c r="AK13" s="131"/>
      <c r="AL13" s="131"/>
      <c r="AM13" s="131"/>
      <c r="AN13" s="131"/>
      <c r="AO13" s="131"/>
    </row>
    <row r="14" ht="15.75" customHeight="1">
      <c r="A14" s="21" t="s">
        <v>822</v>
      </c>
      <c r="B14" s="104" t="s">
        <v>3268</v>
      </c>
      <c r="C14" s="131"/>
      <c r="D14" s="131"/>
      <c r="E14" s="131"/>
      <c r="F14" s="131"/>
      <c r="G14" s="131"/>
      <c r="H14" s="131"/>
      <c r="I14" s="131"/>
      <c r="J14" s="131"/>
      <c r="K14" s="131"/>
      <c r="L14" s="131"/>
      <c r="M14" s="131"/>
      <c r="N14" s="131"/>
      <c r="O14" s="131"/>
      <c r="P14" s="131"/>
      <c r="Q14" s="131"/>
      <c r="R14" s="131"/>
      <c r="S14" s="131"/>
      <c r="T14" s="131"/>
      <c r="U14" s="131"/>
      <c r="V14" s="131"/>
      <c r="W14" s="131"/>
      <c r="X14" s="131"/>
      <c r="Y14" s="131"/>
      <c r="Z14" s="131"/>
      <c r="AA14" s="131"/>
      <c r="AB14" s="131"/>
      <c r="AC14" s="131"/>
      <c r="AD14" s="131"/>
      <c r="AE14" s="131"/>
      <c r="AF14" s="131"/>
      <c r="AG14" s="131"/>
      <c r="AH14" s="131"/>
      <c r="AI14" s="131"/>
      <c r="AJ14" s="131"/>
      <c r="AK14" s="131"/>
      <c r="AL14" s="131"/>
      <c r="AM14" s="131"/>
      <c r="AN14" s="131"/>
      <c r="AO14" s="131"/>
    </row>
    <row r="15" ht="15.75" customHeight="1">
      <c r="A15" s="21" t="s">
        <v>213</v>
      </c>
      <c r="B15" s="104" t="s">
        <v>3269</v>
      </c>
      <c r="C15" s="131"/>
      <c r="D15" s="131"/>
      <c r="E15" s="131"/>
      <c r="F15" s="131"/>
      <c r="G15" s="131"/>
      <c r="H15" s="131"/>
      <c r="I15" s="131"/>
      <c r="J15" s="131"/>
      <c r="K15" s="131"/>
      <c r="L15" s="131"/>
      <c r="M15" s="131"/>
      <c r="N15" s="131"/>
      <c r="O15" s="131"/>
      <c r="P15" s="131"/>
      <c r="Q15" s="131"/>
      <c r="R15" s="131"/>
      <c r="S15" s="131"/>
      <c r="T15" s="131"/>
      <c r="U15" s="131"/>
      <c r="V15" s="131"/>
      <c r="W15" s="131"/>
      <c r="X15" s="131"/>
      <c r="Y15" s="131"/>
      <c r="Z15" s="131"/>
      <c r="AA15" s="131"/>
      <c r="AB15" s="131"/>
      <c r="AC15" s="131"/>
      <c r="AD15" s="131"/>
      <c r="AE15" s="131"/>
      <c r="AF15" s="131"/>
      <c r="AG15" s="131"/>
      <c r="AH15" s="131"/>
      <c r="AI15" s="131"/>
      <c r="AJ15" s="131"/>
      <c r="AK15" s="131"/>
      <c r="AL15" s="131"/>
      <c r="AM15" s="131"/>
      <c r="AN15" s="131"/>
      <c r="AO15" s="131"/>
    </row>
    <row r="16" ht="15.75" customHeight="1">
      <c r="A16" s="21" t="s">
        <v>314</v>
      </c>
      <c r="B16" s="104" t="s">
        <v>3270</v>
      </c>
      <c r="C16" s="131"/>
      <c r="D16" s="131"/>
      <c r="E16" s="131"/>
      <c r="F16" s="131"/>
      <c r="G16" s="131"/>
      <c r="H16" s="131"/>
      <c r="I16" s="131"/>
      <c r="J16" s="131"/>
      <c r="K16" s="131"/>
      <c r="L16" s="131"/>
      <c r="M16" s="131"/>
      <c r="N16" s="131"/>
      <c r="O16" s="131"/>
      <c r="P16" s="131"/>
      <c r="Q16" s="131"/>
      <c r="R16" s="131"/>
      <c r="S16" s="131"/>
      <c r="T16" s="131"/>
      <c r="U16" s="131"/>
      <c r="V16" s="131"/>
      <c r="W16" s="131"/>
      <c r="X16" s="131"/>
      <c r="Y16" s="131"/>
      <c r="Z16" s="131"/>
      <c r="AA16" s="131"/>
      <c r="AB16" s="131"/>
      <c r="AC16" s="131"/>
      <c r="AD16" s="131"/>
      <c r="AE16" s="131"/>
      <c r="AF16" s="131"/>
      <c r="AG16" s="131"/>
      <c r="AH16" s="131"/>
      <c r="AI16" s="131"/>
      <c r="AJ16" s="131"/>
      <c r="AK16" s="131"/>
      <c r="AL16" s="131"/>
      <c r="AM16" s="131"/>
      <c r="AN16" s="131"/>
      <c r="AO16" s="131"/>
    </row>
    <row r="17" ht="15.75" customHeight="1">
      <c r="A17" s="21" t="s">
        <v>2027</v>
      </c>
      <c r="B17" s="104" t="s">
        <v>3271</v>
      </c>
      <c r="C17" s="131"/>
      <c r="D17" s="131"/>
      <c r="E17" s="131"/>
      <c r="F17" s="131"/>
      <c r="G17" s="131"/>
      <c r="H17" s="131"/>
      <c r="I17" s="131"/>
      <c r="J17" s="131"/>
      <c r="K17" s="131"/>
      <c r="L17" s="131"/>
      <c r="M17" s="131"/>
      <c r="N17" s="131"/>
      <c r="O17" s="131"/>
      <c r="P17" s="131"/>
      <c r="Q17" s="131"/>
      <c r="R17" s="131"/>
      <c r="S17" s="131"/>
      <c r="T17" s="131"/>
      <c r="U17" s="131"/>
      <c r="V17" s="131"/>
      <c r="W17" s="131"/>
      <c r="X17" s="131"/>
      <c r="Y17" s="131"/>
      <c r="Z17" s="131"/>
      <c r="AA17" s="131"/>
      <c r="AB17" s="131"/>
      <c r="AC17" s="131"/>
      <c r="AD17" s="131"/>
      <c r="AE17" s="131"/>
      <c r="AF17" s="131"/>
      <c r="AG17" s="131"/>
      <c r="AH17" s="131"/>
      <c r="AI17" s="131"/>
      <c r="AJ17" s="131"/>
      <c r="AK17" s="131"/>
      <c r="AL17" s="131"/>
      <c r="AM17" s="131"/>
      <c r="AN17" s="131"/>
      <c r="AO17" s="131"/>
    </row>
    <row r="18" ht="15.75" customHeight="1">
      <c r="A18" s="21" t="s">
        <v>2911</v>
      </c>
      <c r="B18" s="104" t="s">
        <v>3272</v>
      </c>
      <c r="C18" s="131"/>
      <c r="D18" s="131"/>
      <c r="E18" s="131"/>
      <c r="F18" s="131"/>
      <c r="G18" s="131"/>
      <c r="H18" s="131"/>
      <c r="I18" s="131"/>
      <c r="J18" s="131"/>
      <c r="K18" s="131"/>
      <c r="L18" s="131"/>
      <c r="M18" s="131"/>
      <c r="N18" s="131"/>
      <c r="O18" s="131"/>
      <c r="P18" s="131"/>
      <c r="Q18" s="131"/>
      <c r="R18" s="131"/>
      <c r="S18" s="131"/>
      <c r="T18" s="131"/>
      <c r="U18" s="131"/>
      <c r="V18" s="131"/>
      <c r="W18" s="131"/>
      <c r="X18" s="131"/>
      <c r="Y18" s="131"/>
      <c r="Z18" s="131"/>
      <c r="AA18" s="131"/>
      <c r="AB18" s="131"/>
      <c r="AC18" s="131"/>
      <c r="AD18" s="131"/>
      <c r="AE18" s="131"/>
      <c r="AF18" s="131"/>
      <c r="AG18" s="131"/>
      <c r="AH18" s="131"/>
      <c r="AI18" s="131"/>
      <c r="AJ18" s="131"/>
      <c r="AK18" s="131"/>
      <c r="AL18" s="131"/>
      <c r="AM18" s="131"/>
      <c r="AN18" s="131"/>
      <c r="AO18" s="131"/>
    </row>
    <row r="19" ht="15.75" customHeight="1">
      <c r="A19" s="131"/>
      <c r="B19" s="131"/>
      <c r="C19" s="131"/>
      <c r="D19" s="131"/>
      <c r="E19" s="131"/>
      <c r="F19" s="131"/>
      <c r="G19" s="131"/>
      <c r="H19" s="131"/>
      <c r="I19" s="131"/>
      <c r="J19" s="131"/>
      <c r="K19" s="131"/>
      <c r="L19" s="131"/>
      <c r="M19" s="131"/>
      <c r="N19" s="131"/>
      <c r="O19" s="131"/>
      <c r="P19" s="131"/>
      <c r="Q19" s="131"/>
      <c r="R19" s="131"/>
      <c r="S19" s="131"/>
      <c r="T19" s="131"/>
      <c r="U19" s="131"/>
      <c r="V19" s="131"/>
      <c r="W19" s="131"/>
      <c r="X19" s="131"/>
      <c r="Y19" s="131"/>
      <c r="Z19" s="131"/>
      <c r="AA19" s="131"/>
      <c r="AB19" s="131"/>
      <c r="AC19" s="131"/>
      <c r="AD19" s="131"/>
      <c r="AE19" s="131"/>
      <c r="AF19" s="131"/>
      <c r="AG19" s="131"/>
      <c r="AH19" s="131"/>
      <c r="AI19" s="131"/>
      <c r="AJ19" s="131"/>
      <c r="AK19" s="131"/>
      <c r="AL19" s="131"/>
      <c r="AM19" s="131"/>
      <c r="AN19" s="131"/>
      <c r="AO19" s="131"/>
    </row>
    <row r="20" ht="15.75" customHeight="1">
      <c r="A20" s="131"/>
      <c r="B20" s="131"/>
      <c r="C20" s="131"/>
      <c r="D20" s="131"/>
      <c r="E20" s="131"/>
      <c r="F20" s="131"/>
      <c r="G20" s="131"/>
      <c r="H20" s="131"/>
      <c r="I20" s="131"/>
      <c r="J20" s="131"/>
      <c r="K20" s="131"/>
      <c r="L20" s="131"/>
      <c r="M20" s="131"/>
      <c r="N20" s="131"/>
      <c r="O20" s="131"/>
      <c r="P20" s="131"/>
      <c r="Q20" s="131"/>
      <c r="R20" s="131"/>
      <c r="S20" s="131"/>
      <c r="T20" s="131"/>
      <c r="U20" s="131"/>
      <c r="V20" s="131"/>
      <c r="W20" s="131"/>
      <c r="X20" s="131"/>
      <c r="Y20" s="131"/>
      <c r="Z20" s="131"/>
      <c r="AA20" s="131"/>
      <c r="AB20" s="131"/>
      <c r="AC20" s="131"/>
      <c r="AD20" s="131"/>
      <c r="AE20" s="131"/>
      <c r="AF20" s="131"/>
      <c r="AG20" s="131"/>
      <c r="AH20" s="131"/>
      <c r="AI20" s="131"/>
      <c r="AJ20" s="131"/>
      <c r="AK20" s="131"/>
      <c r="AL20" s="131"/>
      <c r="AM20" s="131"/>
      <c r="AN20" s="131"/>
      <c r="AO20" s="131"/>
    </row>
    <row r="21" ht="15.75" customHeight="1">
      <c r="A21" s="131"/>
      <c r="B21" s="131"/>
      <c r="C21" s="131"/>
      <c r="D21" s="131"/>
      <c r="E21" s="131"/>
      <c r="F21" s="131"/>
      <c r="G21" s="131"/>
      <c r="H21" s="131"/>
      <c r="I21" s="131"/>
      <c r="J21" s="131"/>
      <c r="K21" s="131"/>
      <c r="L21" s="131"/>
      <c r="M21" s="131"/>
      <c r="N21" s="131"/>
      <c r="O21" s="131"/>
      <c r="P21" s="131"/>
      <c r="Q21" s="131"/>
      <c r="R21" s="131"/>
      <c r="S21" s="131"/>
      <c r="T21" s="131"/>
      <c r="U21" s="131"/>
      <c r="V21" s="131"/>
      <c r="W21" s="131"/>
      <c r="X21" s="131"/>
      <c r="Y21" s="131"/>
      <c r="Z21" s="131"/>
      <c r="AA21" s="131"/>
      <c r="AB21" s="131"/>
      <c r="AC21" s="131"/>
      <c r="AD21" s="131"/>
      <c r="AE21" s="131"/>
      <c r="AF21" s="131"/>
      <c r="AG21" s="131"/>
      <c r="AH21" s="131"/>
      <c r="AI21" s="131"/>
      <c r="AJ21" s="131"/>
      <c r="AK21" s="131"/>
      <c r="AL21" s="131"/>
      <c r="AM21" s="131"/>
      <c r="AN21" s="131"/>
      <c r="AO21" s="131"/>
    </row>
    <row r="22" ht="15.75" customHeight="1">
      <c r="A22" s="131"/>
      <c r="B22" s="131"/>
      <c r="C22" s="131"/>
      <c r="D22" s="131"/>
      <c r="E22" s="131"/>
      <c r="F22" s="131"/>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31"/>
    </row>
    <row r="23" ht="15.75" customHeight="1">
      <c r="A23" s="131"/>
      <c r="B23" s="131"/>
      <c r="C23" s="131"/>
      <c r="D23" s="131"/>
      <c r="E23" s="131"/>
      <c r="F23" s="131"/>
      <c r="G23" s="131"/>
      <c r="H23" s="131"/>
      <c r="I23" s="131"/>
      <c r="J23" s="131"/>
      <c r="K23" s="131"/>
      <c r="L23" s="131"/>
      <c r="M23" s="131"/>
      <c r="N23" s="131"/>
      <c r="O23" s="131"/>
      <c r="P23" s="131"/>
      <c r="Q23" s="131"/>
      <c r="R23" s="131"/>
      <c r="S23" s="131"/>
      <c r="T23" s="131"/>
      <c r="U23" s="131"/>
      <c r="V23" s="131"/>
      <c r="W23" s="131"/>
      <c r="X23" s="131"/>
      <c r="Y23" s="131"/>
      <c r="Z23" s="131"/>
      <c r="AA23" s="131"/>
      <c r="AB23" s="131"/>
      <c r="AC23" s="131"/>
      <c r="AD23" s="131"/>
      <c r="AE23" s="131"/>
      <c r="AF23" s="131"/>
      <c r="AG23" s="131"/>
      <c r="AH23" s="131"/>
      <c r="AI23" s="131"/>
      <c r="AJ23" s="131"/>
      <c r="AK23" s="131"/>
      <c r="AL23" s="131"/>
      <c r="AM23" s="131"/>
      <c r="AN23" s="131"/>
      <c r="AO23" s="131"/>
    </row>
    <row r="24" ht="15.75" customHeight="1">
      <c r="A24" s="131"/>
      <c r="B24" s="131"/>
      <c r="C24" s="131"/>
      <c r="D24" s="131"/>
      <c r="E24" s="131"/>
      <c r="F24" s="131"/>
      <c r="G24" s="131"/>
      <c r="H24" s="131"/>
      <c r="I24" s="131"/>
      <c r="J24" s="131"/>
      <c r="K24" s="131"/>
      <c r="L24" s="131"/>
      <c r="M24" s="131"/>
      <c r="N24" s="131"/>
      <c r="O24" s="131"/>
      <c r="P24" s="131"/>
      <c r="Q24" s="131"/>
      <c r="R24" s="131"/>
      <c r="S24" s="131"/>
      <c r="T24" s="131"/>
      <c r="U24" s="131"/>
      <c r="V24" s="131"/>
      <c r="W24" s="131"/>
      <c r="X24" s="131"/>
      <c r="Y24" s="131"/>
      <c r="Z24" s="131"/>
      <c r="AA24" s="131"/>
      <c r="AB24" s="131"/>
      <c r="AC24" s="131"/>
      <c r="AD24" s="131"/>
      <c r="AE24" s="131"/>
      <c r="AF24" s="131"/>
      <c r="AG24" s="131"/>
      <c r="AH24" s="131"/>
      <c r="AI24" s="131"/>
      <c r="AJ24" s="131"/>
      <c r="AK24" s="131"/>
      <c r="AL24" s="131"/>
      <c r="AM24" s="131"/>
      <c r="AN24" s="131"/>
      <c r="AO24" s="131"/>
    </row>
    <row r="25" ht="15.75" customHeight="1">
      <c r="A25" s="131"/>
      <c r="B25" s="131"/>
      <c r="C25" s="131"/>
      <c r="D25" s="131"/>
      <c r="E25" s="131"/>
      <c r="F25" s="131"/>
      <c r="G25" s="131"/>
      <c r="H25" s="131"/>
      <c r="I25" s="131"/>
      <c r="J25" s="131"/>
      <c r="K25" s="131"/>
      <c r="L25" s="131"/>
      <c r="M25" s="131"/>
      <c r="N25" s="131"/>
      <c r="O25" s="131"/>
      <c r="P25" s="131"/>
      <c r="Q25" s="131"/>
      <c r="R25" s="131"/>
      <c r="S25" s="131"/>
      <c r="T25" s="131"/>
      <c r="U25" s="131"/>
      <c r="V25" s="131"/>
      <c r="W25" s="131"/>
      <c r="X25" s="131"/>
      <c r="Y25" s="131"/>
      <c r="Z25" s="131"/>
      <c r="AA25" s="131"/>
      <c r="AB25" s="131"/>
      <c r="AC25" s="131"/>
      <c r="AD25" s="131"/>
      <c r="AE25" s="131"/>
      <c r="AF25" s="131"/>
      <c r="AG25" s="131"/>
      <c r="AH25" s="131"/>
      <c r="AI25" s="131"/>
      <c r="AJ25" s="131"/>
      <c r="AK25" s="131"/>
      <c r="AL25" s="131"/>
      <c r="AM25" s="131"/>
      <c r="AN25" s="131"/>
      <c r="AO25" s="131"/>
    </row>
    <row r="26" ht="15.75" customHeight="1">
      <c r="A26" s="131"/>
      <c r="B26" s="131"/>
      <c r="C26" s="131"/>
      <c r="D26" s="131"/>
      <c r="E26" s="131"/>
      <c r="F26" s="131"/>
      <c r="G26" s="131"/>
      <c r="H26" s="131"/>
      <c r="I26" s="131"/>
      <c r="J26" s="131"/>
      <c r="K26" s="131"/>
      <c r="L26" s="131"/>
      <c r="M26" s="131"/>
      <c r="N26" s="131"/>
      <c r="O26" s="131"/>
      <c r="P26" s="131"/>
      <c r="Q26" s="131"/>
      <c r="R26" s="131"/>
      <c r="S26" s="131"/>
      <c r="T26" s="131"/>
      <c r="U26" s="131"/>
      <c r="V26" s="131"/>
      <c r="W26" s="131"/>
      <c r="X26" s="131"/>
      <c r="Y26" s="131"/>
      <c r="Z26" s="131"/>
      <c r="AA26" s="131"/>
      <c r="AB26" s="131"/>
      <c r="AC26" s="131"/>
      <c r="AD26" s="131"/>
      <c r="AE26" s="131"/>
      <c r="AF26" s="131"/>
      <c r="AG26" s="131"/>
      <c r="AH26" s="131"/>
      <c r="AI26" s="131"/>
      <c r="AJ26" s="131"/>
      <c r="AK26" s="131"/>
      <c r="AL26" s="131"/>
      <c r="AM26" s="131"/>
      <c r="AN26" s="131"/>
      <c r="AO26" s="131"/>
    </row>
    <row r="27" ht="15.75" customHeight="1">
      <c r="A27" s="131"/>
      <c r="B27" s="131"/>
      <c r="C27" s="131"/>
      <c r="D27" s="131"/>
      <c r="E27" s="131"/>
      <c r="F27" s="131"/>
      <c r="G27" s="131"/>
      <c r="H27" s="131"/>
      <c r="I27" s="131"/>
      <c r="J27" s="131"/>
      <c r="K27" s="131"/>
      <c r="L27" s="131"/>
      <c r="M27" s="131"/>
      <c r="N27" s="131"/>
      <c r="O27" s="131"/>
      <c r="P27" s="131"/>
      <c r="Q27" s="131"/>
      <c r="R27" s="131"/>
      <c r="S27" s="131"/>
      <c r="T27" s="131"/>
      <c r="U27" s="131"/>
      <c r="V27" s="131"/>
      <c r="W27" s="131"/>
      <c r="X27" s="131"/>
      <c r="Y27" s="131"/>
      <c r="Z27" s="131"/>
      <c r="AA27" s="131"/>
      <c r="AB27" s="131"/>
      <c r="AC27" s="131"/>
      <c r="AD27" s="131"/>
      <c r="AE27" s="131"/>
      <c r="AF27" s="131"/>
      <c r="AG27" s="131"/>
      <c r="AH27" s="131"/>
      <c r="AI27" s="131"/>
      <c r="AJ27" s="131"/>
      <c r="AK27" s="131"/>
      <c r="AL27" s="131"/>
      <c r="AM27" s="131"/>
      <c r="AN27" s="131"/>
      <c r="AO27" s="131"/>
    </row>
    <row r="28" ht="15.75" customHeight="1">
      <c r="A28" s="131"/>
      <c r="B28" s="131"/>
      <c r="C28" s="131"/>
      <c r="D28" s="131"/>
      <c r="E28" s="131"/>
      <c r="F28" s="131"/>
      <c r="G28" s="131"/>
      <c r="H28" s="131"/>
      <c r="I28" s="131"/>
      <c r="J28" s="131"/>
      <c r="K28" s="131"/>
      <c r="L28" s="131"/>
      <c r="M28" s="131"/>
      <c r="N28" s="131"/>
      <c r="O28" s="131"/>
      <c r="P28" s="131"/>
      <c r="Q28" s="131"/>
      <c r="R28" s="131"/>
      <c r="S28" s="131"/>
      <c r="T28" s="131"/>
      <c r="U28" s="131"/>
      <c r="V28" s="131"/>
      <c r="W28" s="131"/>
      <c r="X28" s="131"/>
      <c r="Y28" s="131"/>
      <c r="Z28" s="131"/>
      <c r="AA28" s="131"/>
      <c r="AB28" s="131"/>
      <c r="AC28" s="131"/>
      <c r="AD28" s="131"/>
      <c r="AE28" s="131"/>
      <c r="AF28" s="131"/>
      <c r="AG28" s="131"/>
      <c r="AH28" s="131"/>
      <c r="AI28" s="131"/>
      <c r="AJ28" s="131"/>
      <c r="AK28" s="131"/>
      <c r="AL28" s="131"/>
      <c r="AM28" s="131"/>
      <c r="AN28" s="131"/>
      <c r="AO28" s="131"/>
    </row>
    <row r="29" ht="15.75" customHeight="1">
      <c r="A29" s="131"/>
      <c r="B29" s="131"/>
      <c r="C29" s="131"/>
      <c r="D29" s="131"/>
      <c r="E29" s="131"/>
      <c r="F29" s="131"/>
      <c r="G29" s="131"/>
      <c r="H29" s="131"/>
      <c r="I29" s="131"/>
      <c r="J29" s="131"/>
      <c r="K29" s="131"/>
      <c r="L29" s="131"/>
      <c r="M29" s="131"/>
      <c r="N29" s="131"/>
      <c r="O29" s="131"/>
      <c r="P29" s="131"/>
      <c r="Q29" s="131"/>
      <c r="R29" s="131"/>
      <c r="S29" s="131"/>
      <c r="T29" s="131"/>
      <c r="U29" s="131"/>
      <c r="V29" s="131"/>
      <c r="W29" s="131"/>
      <c r="X29" s="131"/>
      <c r="Y29" s="131"/>
      <c r="Z29" s="131"/>
      <c r="AA29" s="131"/>
      <c r="AB29" s="131"/>
      <c r="AC29" s="131"/>
      <c r="AD29" s="131"/>
      <c r="AE29" s="131"/>
      <c r="AF29" s="131"/>
      <c r="AG29" s="131"/>
      <c r="AH29" s="131"/>
      <c r="AI29" s="131"/>
      <c r="AJ29" s="131"/>
      <c r="AK29" s="131"/>
      <c r="AL29" s="131"/>
      <c r="AM29" s="131"/>
      <c r="AN29" s="131"/>
      <c r="AO29" s="131"/>
    </row>
    <row r="30" ht="15.75" customHeight="1">
      <c r="A30" s="131"/>
      <c r="B30" s="131"/>
      <c r="C30" s="131"/>
      <c r="D30" s="131"/>
      <c r="E30" s="131"/>
      <c r="F30" s="131"/>
      <c r="G30" s="131"/>
      <c r="H30" s="131"/>
      <c r="I30" s="131"/>
      <c r="J30" s="131"/>
      <c r="K30" s="131"/>
      <c r="L30" s="131"/>
      <c r="M30" s="131"/>
      <c r="N30" s="131"/>
      <c r="O30" s="131"/>
      <c r="P30" s="131"/>
      <c r="Q30" s="131"/>
      <c r="R30" s="131"/>
      <c r="S30" s="131"/>
      <c r="T30" s="131"/>
      <c r="U30" s="131"/>
      <c r="V30" s="131"/>
      <c r="W30" s="131"/>
      <c r="X30" s="131"/>
      <c r="Y30" s="131"/>
      <c r="Z30" s="131"/>
      <c r="AA30" s="131"/>
      <c r="AB30" s="131"/>
      <c r="AC30" s="131"/>
      <c r="AD30" s="131"/>
      <c r="AE30" s="131"/>
      <c r="AF30" s="131"/>
      <c r="AG30" s="131"/>
      <c r="AH30" s="131"/>
      <c r="AI30" s="131"/>
      <c r="AJ30" s="131"/>
      <c r="AK30" s="131"/>
      <c r="AL30" s="131"/>
      <c r="AM30" s="131"/>
      <c r="AN30" s="131"/>
      <c r="AO30" s="131"/>
    </row>
    <row r="31" ht="15.75" customHeight="1">
      <c r="A31" s="131"/>
      <c r="B31" s="131"/>
      <c r="C31" s="131"/>
      <c r="D31" s="131"/>
      <c r="E31" s="131"/>
      <c r="F31" s="131"/>
      <c r="G31" s="131"/>
      <c r="H31" s="131"/>
      <c r="I31" s="131"/>
      <c r="J31" s="131"/>
      <c r="K31" s="131"/>
      <c r="L31" s="131"/>
      <c r="M31" s="131"/>
      <c r="N31" s="131"/>
      <c r="O31" s="131"/>
      <c r="P31" s="131"/>
      <c r="Q31" s="131"/>
      <c r="R31" s="131"/>
      <c r="S31" s="131"/>
      <c r="T31" s="131"/>
      <c r="U31" s="131"/>
      <c r="V31" s="131"/>
      <c r="W31" s="131"/>
      <c r="X31" s="131"/>
      <c r="Y31" s="131"/>
      <c r="Z31" s="131"/>
      <c r="AA31" s="131"/>
      <c r="AB31" s="131"/>
      <c r="AC31" s="131"/>
      <c r="AD31" s="131"/>
      <c r="AE31" s="131"/>
      <c r="AF31" s="131"/>
      <c r="AG31" s="131"/>
      <c r="AH31" s="131"/>
      <c r="AI31" s="131"/>
      <c r="AJ31" s="131"/>
      <c r="AK31" s="131"/>
      <c r="AL31" s="131"/>
      <c r="AM31" s="131"/>
      <c r="AN31" s="131"/>
      <c r="AO31" s="131"/>
    </row>
    <row r="32" ht="15.75" customHeight="1">
      <c r="A32" s="131"/>
      <c r="B32" s="131"/>
      <c r="C32" s="131"/>
      <c r="D32" s="131"/>
      <c r="E32" s="131"/>
      <c r="F32" s="131"/>
      <c r="G32" s="131"/>
      <c r="H32" s="131"/>
      <c r="I32" s="131"/>
      <c r="J32" s="131"/>
      <c r="K32" s="131"/>
      <c r="L32" s="131"/>
      <c r="M32" s="131"/>
      <c r="N32" s="131"/>
      <c r="O32" s="131"/>
      <c r="P32" s="131"/>
      <c r="Q32" s="131"/>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31"/>
    </row>
    <row r="33" ht="15.75" customHeight="1">
      <c r="A33" s="131"/>
      <c r="B33" s="131"/>
      <c r="C33" s="131"/>
      <c r="D33" s="131"/>
      <c r="E33" s="131"/>
      <c r="F33" s="131"/>
      <c r="G33" s="131"/>
      <c r="H33" s="131"/>
      <c r="I33" s="131"/>
      <c r="J33" s="131"/>
      <c r="K33" s="131"/>
      <c r="L33" s="131"/>
      <c r="M33" s="131"/>
      <c r="N33" s="131"/>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31"/>
    </row>
    <row r="34" ht="15.75" customHeight="1">
      <c r="A34" s="131"/>
      <c r="B34" s="131"/>
      <c r="C34" s="131"/>
      <c r="D34" s="131"/>
      <c r="E34" s="131"/>
      <c r="F34" s="131"/>
      <c r="G34" s="131"/>
      <c r="H34" s="131"/>
      <c r="I34" s="131"/>
      <c r="J34" s="131"/>
      <c r="K34" s="131"/>
      <c r="L34" s="131"/>
      <c r="M34" s="131"/>
      <c r="N34" s="131"/>
      <c r="O34" s="131"/>
      <c r="P34" s="131"/>
      <c r="Q34" s="131"/>
      <c r="R34" s="131"/>
      <c r="S34" s="131"/>
      <c r="T34" s="131"/>
      <c r="U34" s="131"/>
      <c r="V34" s="131"/>
      <c r="W34" s="131"/>
      <c r="X34" s="131"/>
      <c r="Y34" s="131"/>
      <c r="Z34" s="131"/>
      <c r="AA34" s="131"/>
      <c r="AB34" s="131"/>
      <c r="AC34" s="131"/>
      <c r="AD34" s="131"/>
      <c r="AE34" s="131"/>
      <c r="AF34" s="131"/>
      <c r="AG34" s="131"/>
      <c r="AH34" s="131"/>
      <c r="AI34" s="131"/>
      <c r="AJ34" s="131"/>
      <c r="AK34" s="131"/>
      <c r="AL34" s="131"/>
      <c r="AM34" s="131"/>
      <c r="AN34" s="131"/>
      <c r="AO34" s="131"/>
    </row>
    <row r="35" ht="15.75" customHeight="1">
      <c r="A35" s="131"/>
      <c r="B35" s="131"/>
      <c r="C35" s="131"/>
      <c r="D35" s="131"/>
      <c r="E35" s="131"/>
      <c r="F35" s="131"/>
      <c r="G35" s="131"/>
      <c r="H35" s="131"/>
      <c r="I35" s="131"/>
      <c r="J35" s="131"/>
      <c r="K35" s="131"/>
      <c r="L35" s="131"/>
      <c r="M35" s="131"/>
      <c r="N35" s="131"/>
      <c r="O35" s="131"/>
      <c r="P35" s="131"/>
      <c r="Q35" s="131"/>
      <c r="R35" s="131"/>
      <c r="S35" s="131"/>
      <c r="T35" s="131"/>
      <c r="U35" s="131"/>
      <c r="V35" s="131"/>
      <c r="W35" s="131"/>
      <c r="X35" s="131"/>
      <c r="Y35" s="131"/>
      <c r="Z35" s="131"/>
      <c r="AA35" s="131"/>
      <c r="AB35" s="131"/>
      <c r="AC35" s="131"/>
      <c r="AD35" s="131"/>
      <c r="AE35" s="131"/>
      <c r="AF35" s="131"/>
      <c r="AG35" s="131"/>
      <c r="AH35" s="131"/>
      <c r="AI35" s="131"/>
      <c r="AJ35" s="131"/>
      <c r="AK35" s="131"/>
      <c r="AL35" s="131"/>
      <c r="AM35" s="131"/>
      <c r="AN35" s="131"/>
      <c r="AO35" s="131"/>
    </row>
    <row r="36" ht="15.75" customHeight="1">
      <c r="A36" s="131"/>
      <c r="B36" s="131"/>
      <c r="C36" s="131"/>
      <c r="D36" s="131"/>
      <c r="E36" s="131"/>
      <c r="F36" s="131"/>
      <c r="G36" s="131"/>
      <c r="H36" s="131"/>
      <c r="I36" s="131"/>
      <c r="J36" s="131"/>
      <c r="K36" s="131"/>
      <c r="L36" s="131"/>
      <c r="M36" s="131"/>
      <c r="N36" s="131"/>
      <c r="O36" s="131"/>
      <c r="P36" s="131"/>
      <c r="Q36" s="131"/>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31"/>
    </row>
    <row r="37" ht="15.75" customHeight="1">
      <c r="A37" s="131"/>
      <c r="B37" s="131"/>
      <c r="C37" s="131"/>
      <c r="D37" s="131"/>
      <c r="E37" s="131"/>
      <c r="F37" s="131"/>
      <c r="G37" s="131"/>
      <c r="H37" s="131"/>
      <c r="I37" s="131"/>
      <c r="J37" s="131"/>
      <c r="K37" s="131"/>
      <c r="L37" s="131"/>
      <c r="M37" s="131"/>
      <c r="N37" s="131"/>
      <c r="O37" s="131"/>
      <c r="P37" s="131"/>
      <c r="Q37" s="131"/>
      <c r="R37" s="131"/>
      <c r="S37" s="131"/>
      <c r="T37" s="131"/>
      <c r="U37" s="131"/>
      <c r="V37" s="131"/>
      <c r="W37" s="131"/>
      <c r="X37" s="131"/>
      <c r="Y37" s="131"/>
      <c r="Z37" s="131"/>
      <c r="AA37" s="131"/>
      <c r="AB37" s="131"/>
      <c r="AC37" s="131"/>
      <c r="AD37" s="131"/>
      <c r="AE37" s="131"/>
      <c r="AF37" s="131"/>
      <c r="AG37" s="131"/>
      <c r="AH37" s="131"/>
      <c r="AI37" s="131"/>
      <c r="AJ37" s="131"/>
      <c r="AK37" s="131"/>
      <c r="AL37" s="131"/>
      <c r="AM37" s="131"/>
      <c r="AN37" s="131"/>
      <c r="AO37" s="131"/>
    </row>
    <row r="38" ht="15.75" customHeight="1">
      <c r="A38" s="131"/>
      <c r="B38" s="131"/>
      <c r="C38" s="131"/>
      <c r="D38" s="131"/>
      <c r="E38" s="131"/>
      <c r="F38" s="131"/>
      <c r="G38" s="131"/>
      <c r="H38" s="131"/>
      <c r="I38" s="131"/>
      <c r="J38" s="131"/>
      <c r="K38" s="131"/>
      <c r="L38" s="131"/>
      <c r="M38" s="131"/>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31"/>
    </row>
    <row r="39" ht="15.75" customHeight="1">
      <c r="A39" s="131"/>
      <c r="B39" s="131"/>
      <c r="C39" s="131"/>
      <c r="D39" s="131"/>
      <c r="E39" s="131"/>
      <c r="F39" s="131"/>
      <c r="G39" s="131"/>
      <c r="H39" s="131"/>
      <c r="I39" s="131"/>
      <c r="J39" s="131"/>
      <c r="K39" s="131"/>
      <c r="L39" s="131"/>
      <c r="M39" s="131"/>
      <c r="N39" s="131"/>
      <c r="O39" s="131"/>
      <c r="P39" s="131"/>
      <c r="Q39" s="131"/>
      <c r="R39" s="131"/>
      <c r="S39" s="131"/>
      <c r="T39" s="131"/>
      <c r="U39" s="131"/>
      <c r="V39" s="131"/>
      <c r="W39" s="131"/>
      <c r="X39" s="131"/>
      <c r="Y39" s="131"/>
      <c r="Z39" s="131"/>
      <c r="AA39" s="131"/>
      <c r="AB39" s="131"/>
      <c r="AC39" s="131"/>
      <c r="AD39" s="131"/>
      <c r="AE39" s="131"/>
      <c r="AF39" s="131"/>
      <c r="AG39" s="131"/>
      <c r="AH39" s="131"/>
      <c r="AI39" s="131"/>
      <c r="AJ39" s="131"/>
      <c r="AK39" s="131"/>
      <c r="AL39" s="131"/>
      <c r="AM39" s="131"/>
      <c r="AN39" s="131"/>
      <c r="AO39" s="131"/>
    </row>
    <row r="40" ht="15.75" customHeight="1">
      <c r="A40" s="131"/>
      <c r="B40" s="131"/>
      <c r="C40" s="131"/>
      <c r="D40" s="131"/>
      <c r="E40" s="131"/>
      <c r="F40" s="131"/>
      <c r="G40" s="131"/>
      <c r="H40" s="131"/>
      <c r="I40" s="131"/>
      <c r="J40" s="131"/>
      <c r="K40" s="131"/>
      <c r="L40" s="131"/>
      <c r="M40" s="131"/>
      <c r="N40" s="131"/>
      <c r="O40" s="131"/>
      <c r="P40" s="131"/>
      <c r="Q40" s="131"/>
      <c r="R40" s="131"/>
      <c r="S40" s="131"/>
      <c r="T40" s="131"/>
      <c r="U40" s="131"/>
      <c r="V40" s="131"/>
      <c r="W40" s="131"/>
      <c r="X40" s="131"/>
      <c r="Y40" s="131"/>
      <c r="Z40" s="131"/>
      <c r="AA40" s="131"/>
      <c r="AB40" s="131"/>
      <c r="AC40" s="131"/>
      <c r="AD40" s="131"/>
      <c r="AE40" s="131"/>
      <c r="AF40" s="131"/>
      <c r="AG40" s="131"/>
      <c r="AH40" s="131"/>
      <c r="AI40" s="131"/>
      <c r="AJ40" s="131"/>
      <c r="AK40" s="131"/>
      <c r="AL40" s="131"/>
      <c r="AM40" s="131"/>
      <c r="AN40" s="131"/>
      <c r="AO40" s="131"/>
    </row>
    <row r="41" ht="15.75" customHeight="1">
      <c r="A41" s="131"/>
      <c r="B41" s="131"/>
      <c r="C41" s="131"/>
      <c r="D41" s="131"/>
      <c r="E41" s="131"/>
      <c r="F41" s="131"/>
      <c r="G41" s="131"/>
      <c r="H41" s="131"/>
      <c r="I41" s="131"/>
      <c r="J41" s="131"/>
      <c r="K41" s="131"/>
      <c r="L41" s="131"/>
      <c r="M41" s="131"/>
      <c r="N41" s="131"/>
      <c r="O41" s="131"/>
      <c r="P41" s="131"/>
      <c r="Q41" s="131"/>
      <c r="R41" s="131"/>
      <c r="S41" s="131"/>
      <c r="T41" s="131"/>
      <c r="U41" s="131"/>
      <c r="V41" s="131"/>
      <c r="W41" s="131"/>
      <c r="X41" s="131"/>
      <c r="Y41" s="131"/>
      <c r="Z41" s="131"/>
      <c r="AA41" s="131"/>
      <c r="AB41" s="131"/>
      <c r="AC41" s="131"/>
      <c r="AD41" s="131"/>
      <c r="AE41" s="131"/>
      <c r="AF41" s="131"/>
      <c r="AG41" s="131"/>
      <c r="AH41" s="131"/>
      <c r="AI41" s="131"/>
      <c r="AJ41" s="131"/>
      <c r="AK41" s="131"/>
      <c r="AL41" s="131"/>
      <c r="AM41" s="131"/>
      <c r="AN41" s="131"/>
      <c r="AO41" s="131"/>
    </row>
    <row r="42" ht="15.75" customHeight="1">
      <c r="A42" s="131"/>
      <c r="B42" s="131"/>
      <c r="C42" s="131"/>
      <c r="D42" s="131"/>
      <c r="E42" s="131"/>
      <c r="F42" s="131"/>
      <c r="G42" s="131"/>
      <c r="H42" s="131"/>
      <c r="I42" s="131"/>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c r="AI42" s="131"/>
      <c r="AJ42" s="131"/>
      <c r="AK42" s="131"/>
      <c r="AL42" s="131"/>
      <c r="AM42" s="131"/>
      <c r="AN42" s="131"/>
      <c r="AO42" s="131"/>
    </row>
    <row r="43" ht="15.75" customHeight="1">
      <c r="A43" s="131"/>
      <c r="B43" s="131"/>
      <c r="C43" s="131"/>
      <c r="D43" s="131"/>
      <c r="E43" s="131"/>
      <c r="F43" s="131"/>
      <c r="G43" s="131"/>
      <c r="H43" s="131"/>
      <c r="I43" s="131"/>
      <c r="J43" s="131"/>
      <c r="K43" s="131"/>
      <c r="L43" s="131"/>
      <c r="M43" s="131"/>
      <c r="N43" s="131"/>
      <c r="O43" s="131"/>
      <c r="P43" s="131"/>
      <c r="Q43" s="131"/>
      <c r="R43" s="131"/>
      <c r="S43" s="131"/>
      <c r="T43" s="131"/>
      <c r="U43" s="131"/>
      <c r="V43" s="131"/>
      <c r="W43" s="131"/>
      <c r="X43" s="131"/>
      <c r="Y43" s="131"/>
      <c r="Z43" s="131"/>
      <c r="AA43" s="131"/>
      <c r="AB43" s="131"/>
      <c r="AC43" s="131"/>
      <c r="AD43" s="131"/>
      <c r="AE43" s="131"/>
      <c r="AF43" s="131"/>
      <c r="AG43" s="131"/>
      <c r="AH43" s="131"/>
      <c r="AI43" s="131"/>
      <c r="AJ43" s="131"/>
      <c r="AK43" s="131"/>
      <c r="AL43" s="131"/>
      <c r="AM43" s="131"/>
      <c r="AN43" s="131"/>
      <c r="AO43" s="131"/>
    </row>
    <row r="44" ht="15.75" customHeight="1">
      <c r="A44" s="131"/>
      <c r="B44" s="131"/>
      <c r="C44" s="131"/>
      <c r="D44" s="131"/>
      <c r="E44" s="131"/>
      <c r="F44" s="131"/>
      <c r="G44" s="131"/>
      <c r="H44" s="131"/>
      <c r="I44" s="131"/>
      <c r="J44" s="131"/>
      <c r="K44" s="131"/>
      <c r="L44" s="131"/>
      <c r="M44" s="131"/>
      <c r="N44" s="131"/>
      <c r="O44" s="131"/>
      <c r="P44" s="131"/>
      <c r="Q44" s="131"/>
      <c r="R44" s="131"/>
      <c r="S44" s="131"/>
      <c r="T44" s="131"/>
      <c r="U44" s="131"/>
      <c r="V44" s="131"/>
      <c r="W44" s="131"/>
      <c r="X44" s="131"/>
      <c r="Y44" s="131"/>
      <c r="Z44" s="131"/>
      <c r="AA44" s="131"/>
      <c r="AB44" s="131"/>
      <c r="AC44" s="131"/>
      <c r="AD44" s="131"/>
      <c r="AE44" s="131"/>
      <c r="AF44" s="131"/>
      <c r="AG44" s="131"/>
      <c r="AH44" s="131"/>
      <c r="AI44" s="131"/>
      <c r="AJ44" s="131"/>
      <c r="AK44" s="131"/>
      <c r="AL44" s="131"/>
      <c r="AM44" s="131"/>
      <c r="AN44" s="131"/>
      <c r="AO44" s="131"/>
    </row>
    <row r="45" ht="15.75" customHeight="1">
      <c r="A45" s="131"/>
      <c r="B45" s="131"/>
      <c r="C45" s="131"/>
      <c r="D45" s="131"/>
      <c r="E45" s="131"/>
      <c r="F45" s="131"/>
      <c r="G45" s="131"/>
      <c r="H45" s="131"/>
      <c r="I45" s="131"/>
      <c r="J45" s="131"/>
      <c r="K45" s="131"/>
      <c r="L45" s="131"/>
      <c r="M45" s="131"/>
      <c r="N45" s="131"/>
      <c r="O45" s="131"/>
      <c r="P45" s="131"/>
      <c r="Q45" s="131"/>
      <c r="R45" s="131"/>
      <c r="S45" s="131"/>
      <c r="T45" s="131"/>
      <c r="U45" s="131"/>
      <c r="V45" s="131"/>
      <c r="W45" s="131"/>
      <c r="X45" s="131"/>
      <c r="Y45" s="131"/>
      <c r="Z45" s="131"/>
      <c r="AA45" s="131"/>
      <c r="AB45" s="131"/>
      <c r="AC45" s="131"/>
      <c r="AD45" s="131"/>
      <c r="AE45" s="131"/>
      <c r="AF45" s="131"/>
      <c r="AG45" s="131"/>
      <c r="AH45" s="131"/>
      <c r="AI45" s="131"/>
      <c r="AJ45" s="131"/>
      <c r="AK45" s="131"/>
      <c r="AL45" s="131"/>
      <c r="AM45" s="131"/>
      <c r="AN45" s="131"/>
      <c r="AO45" s="131"/>
    </row>
    <row r="46" ht="15.75" customHeight="1">
      <c r="A46" s="131"/>
      <c r="B46" s="131"/>
      <c r="C46" s="131"/>
      <c r="D46" s="131"/>
      <c r="E46" s="131"/>
      <c r="F46" s="131"/>
      <c r="G46" s="131"/>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c r="AI46" s="131"/>
      <c r="AJ46" s="131"/>
      <c r="AK46" s="131"/>
      <c r="AL46" s="131"/>
      <c r="AM46" s="131"/>
      <c r="AN46" s="131"/>
      <c r="AO46" s="131"/>
    </row>
    <row r="47" ht="15.75" customHeight="1">
      <c r="A47" s="131"/>
      <c r="B47" s="131"/>
      <c r="C47" s="131"/>
      <c r="D47" s="131"/>
      <c r="E47" s="131"/>
      <c r="F47" s="131"/>
      <c r="G47" s="131"/>
      <c r="H47" s="131"/>
      <c r="I47" s="131"/>
      <c r="J47" s="131"/>
      <c r="K47" s="131"/>
      <c r="L47" s="131"/>
      <c r="M47" s="131"/>
      <c r="N47" s="131"/>
      <c r="O47" s="131"/>
      <c r="P47" s="131"/>
      <c r="Q47" s="131"/>
      <c r="R47" s="131"/>
      <c r="S47" s="131"/>
      <c r="T47" s="131"/>
      <c r="U47" s="131"/>
      <c r="V47" s="131"/>
      <c r="W47" s="131"/>
      <c r="X47" s="131"/>
      <c r="Y47" s="131"/>
      <c r="Z47" s="131"/>
      <c r="AA47" s="131"/>
      <c r="AB47" s="131"/>
      <c r="AC47" s="131"/>
      <c r="AD47" s="131"/>
      <c r="AE47" s="131"/>
      <c r="AF47" s="131"/>
      <c r="AG47" s="131"/>
      <c r="AH47" s="131"/>
      <c r="AI47" s="131"/>
      <c r="AJ47" s="131"/>
      <c r="AK47" s="131"/>
      <c r="AL47" s="131"/>
      <c r="AM47" s="131"/>
      <c r="AN47" s="131"/>
      <c r="AO47" s="131"/>
    </row>
    <row r="48" ht="15.75" customHeight="1">
      <c r="A48" s="131"/>
      <c r="B48" s="131"/>
      <c r="C48" s="131"/>
      <c r="D48" s="131"/>
      <c r="E48" s="131"/>
      <c r="F48" s="131"/>
      <c r="G48" s="131"/>
      <c r="H48" s="131"/>
      <c r="I48" s="131"/>
      <c r="J48" s="131"/>
      <c r="K48" s="131"/>
      <c r="L48" s="131"/>
      <c r="M48" s="131"/>
      <c r="N48" s="131"/>
      <c r="O48" s="131"/>
      <c r="P48" s="131"/>
      <c r="Q48" s="131"/>
      <c r="R48" s="131"/>
      <c r="S48" s="131"/>
      <c r="T48" s="131"/>
      <c r="U48" s="131"/>
      <c r="V48" s="131"/>
      <c r="W48" s="131"/>
      <c r="X48" s="131"/>
      <c r="Y48" s="131"/>
      <c r="Z48" s="131"/>
      <c r="AA48" s="131"/>
      <c r="AB48" s="131"/>
      <c r="AC48" s="131"/>
      <c r="AD48" s="131"/>
      <c r="AE48" s="131"/>
      <c r="AF48" s="131"/>
      <c r="AG48" s="131"/>
      <c r="AH48" s="131"/>
      <c r="AI48" s="131"/>
      <c r="AJ48" s="131"/>
      <c r="AK48" s="131"/>
      <c r="AL48" s="131"/>
      <c r="AM48" s="131"/>
      <c r="AN48" s="131"/>
      <c r="AO48" s="131"/>
    </row>
    <row r="49" ht="15.75" customHeight="1">
      <c r="A49" s="131"/>
      <c r="B49" s="131"/>
      <c r="C49" s="131"/>
      <c r="D49" s="131"/>
      <c r="E49" s="131"/>
      <c r="F49" s="131"/>
      <c r="G49" s="131"/>
      <c r="H49" s="131"/>
      <c r="I49" s="131"/>
      <c r="J49" s="131"/>
      <c r="K49" s="131"/>
      <c r="L49" s="131"/>
      <c r="M49" s="131"/>
      <c r="N49" s="131"/>
      <c r="O49" s="131"/>
      <c r="P49" s="131"/>
      <c r="Q49" s="131"/>
      <c r="R49" s="131"/>
      <c r="S49" s="131"/>
      <c r="T49" s="131"/>
      <c r="U49" s="131"/>
      <c r="V49" s="131"/>
      <c r="W49" s="131"/>
      <c r="X49" s="131"/>
      <c r="Y49" s="131"/>
      <c r="Z49" s="131"/>
      <c r="AA49" s="131"/>
      <c r="AB49" s="131"/>
      <c r="AC49" s="131"/>
      <c r="AD49" s="131"/>
      <c r="AE49" s="131"/>
      <c r="AF49" s="131"/>
      <c r="AG49" s="131"/>
      <c r="AH49" s="131"/>
      <c r="AI49" s="131"/>
      <c r="AJ49" s="131"/>
      <c r="AK49" s="131"/>
      <c r="AL49" s="131"/>
      <c r="AM49" s="131"/>
      <c r="AN49" s="131"/>
      <c r="AO49" s="131"/>
    </row>
    <row r="50" ht="15.75" customHeight="1">
      <c r="A50" s="131"/>
      <c r="B50" s="131"/>
      <c r="C50" s="131"/>
      <c r="D50" s="131"/>
      <c r="E50" s="131"/>
      <c r="F50" s="131"/>
      <c r="G50" s="131"/>
      <c r="H50" s="131"/>
      <c r="I50" s="131"/>
      <c r="J50" s="131"/>
      <c r="K50" s="131"/>
      <c r="L50" s="131"/>
      <c r="M50" s="131"/>
      <c r="N50" s="131"/>
      <c r="O50" s="131"/>
      <c r="P50" s="131"/>
      <c r="Q50" s="131"/>
      <c r="R50" s="131"/>
      <c r="S50" s="131"/>
      <c r="T50" s="131"/>
      <c r="U50" s="131"/>
      <c r="V50" s="131"/>
      <c r="W50" s="131"/>
      <c r="X50" s="131"/>
      <c r="Y50" s="131"/>
      <c r="Z50" s="131"/>
      <c r="AA50" s="131"/>
      <c r="AB50" s="131"/>
      <c r="AC50" s="131"/>
      <c r="AD50" s="131"/>
      <c r="AE50" s="131"/>
      <c r="AF50" s="131"/>
      <c r="AG50" s="131"/>
      <c r="AH50" s="131"/>
      <c r="AI50" s="131"/>
      <c r="AJ50" s="131"/>
      <c r="AK50" s="131"/>
      <c r="AL50" s="131"/>
      <c r="AM50" s="131"/>
      <c r="AN50" s="131"/>
      <c r="AO50" s="131"/>
    </row>
    <row r="51" ht="15.75" customHeight="1">
      <c r="A51" s="131"/>
      <c r="B51" s="131"/>
      <c r="C51" s="131"/>
      <c r="D51" s="131"/>
      <c r="E51" s="131"/>
      <c r="F51" s="131"/>
      <c r="G51" s="131"/>
      <c r="H51" s="131"/>
      <c r="I51" s="131"/>
      <c r="J51" s="131"/>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31"/>
    </row>
    <row r="52" ht="15.75" customHeight="1">
      <c r="A52" s="131"/>
      <c r="B52" s="131"/>
      <c r="C52" s="131"/>
      <c r="D52" s="131"/>
      <c r="E52" s="131"/>
      <c r="F52" s="131"/>
      <c r="G52" s="131"/>
      <c r="H52" s="131"/>
      <c r="I52" s="131"/>
      <c r="J52" s="131"/>
      <c r="K52" s="131"/>
      <c r="L52" s="131"/>
      <c r="M52" s="131"/>
      <c r="N52" s="131"/>
      <c r="O52" s="131"/>
      <c r="P52" s="131"/>
      <c r="Q52" s="131"/>
      <c r="R52" s="131"/>
      <c r="S52" s="131"/>
      <c r="T52" s="131"/>
      <c r="U52" s="131"/>
      <c r="V52" s="131"/>
      <c r="W52" s="131"/>
      <c r="X52" s="131"/>
      <c r="Y52" s="131"/>
      <c r="Z52" s="131"/>
      <c r="AA52" s="131"/>
      <c r="AB52" s="131"/>
      <c r="AC52" s="131"/>
      <c r="AD52" s="131"/>
      <c r="AE52" s="131"/>
      <c r="AF52" s="131"/>
      <c r="AG52" s="131"/>
      <c r="AH52" s="131"/>
      <c r="AI52" s="131"/>
      <c r="AJ52" s="131"/>
      <c r="AK52" s="131"/>
      <c r="AL52" s="131"/>
      <c r="AM52" s="131"/>
      <c r="AN52" s="131"/>
      <c r="AO52" s="131"/>
    </row>
    <row r="53" ht="15.75" customHeight="1">
      <c r="A53" s="131"/>
      <c r="B53" s="131"/>
      <c r="C53" s="131"/>
      <c r="D53" s="131"/>
      <c r="E53" s="131"/>
      <c r="F53" s="131"/>
      <c r="G53" s="131"/>
      <c r="H53" s="131"/>
      <c r="I53" s="131"/>
      <c r="J53" s="131"/>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1"/>
      <c r="AM53" s="131"/>
      <c r="AN53" s="131"/>
      <c r="AO53" s="131"/>
    </row>
    <row r="54" ht="15.75" customHeight="1">
      <c r="A54" s="131"/>
      <c r="B54" s="131"/>
      <c r="C54" s="131"/>
      <c r="D54" s="131"/>
      <c r="E54" s="131"/>
      <c r="F54" s="131"/>
      <c r="G54" s="131"/>
      <c r="H54" s="131"/>
      <c r="I54" s="131"/>
      <c r="J54" s="131"/>
      <c r="K54" s="131"/>
      <c r="L54" s="131"/>
      <c r="M54" s="131"/>
      <c r="N54" s="131"/>
      <c r="O54" s="131"/>
      <c r="P54" s="131"/>
      <c r="Q54" s="131"/>
      <c r="R54" s="131"/>
      <c r="S54" s="131"/>
      <c r="T54" s="131"/>
      <c r="U54" s="131"/>
      <c r="V54" s="131"/>
      <c r="W54" s="131"/>
      <c r="X54" s="131"/>
      <c r="Y54" s="131"/>
      <c r="Z54" s="131"/>
      <c r="AA54" s="131"/>
      <c r="AB54" s="131"/>
      <c r="AC54" s="131"/>
      <c r="AD54" s="131"/>
      <c r="AE54" s="131"/>
      <c r="AF54" s="131"/>
      <c r="AG54" s="131"/>
      <c r="AH54" s="131"/>
      <c r="AI54" s="131"/>
      <c r="AJ54" s="131"/>
      <c r="AK54" s="131"/>
      <c r="AL54" s="131"/>
      <c r="AM54" s="131"/>
      <c r="AN54" s="131"/>
      <c r="AO54" s="131"/>
    </row>
    <row r="55" ht="15.75" customHeight="1">
      <c r="A55" s="131"/>
      <c r="B55" s="131"/>
      <c r="C55" s="131"/>
      <c r="D55" s="131"/>
      <c r="E55" s="131"/>
      <c r="F55" s="131"/>
      <c r="G55" s="131"/>
      <c r="H55" s="131"/>
      <c r="I55" s="131"/>
      <c r="J55" s="131"/>
      <c r="K55" s="131"/>
      <c r="L55" s="131"/>
      <c r="M55" s="131"/>
      <c r="N55" s="131"/>
      <c r="O55" s="131"/>
      <c r="P55" s="131"/>
      <c r="Q55" s="131"/>
      <c r="R55" s="131"/>
      <c r="S55" s="131"/>
      <c r="T55" s="131"/>
      <c r="U55" s="131"/>
      <c r="V55" s="131"/>
      <c r="W55" s="131"/>
      <c r="X55" s="131"/>
      <c r="Y55" s="131"/>
      <c r="Z55" s="131"/>
      <c r="AA55" s="131"/>
      <c r="AB55" s="131"/>
      <c r="AC55" s="131"/>
      <c r="AD55" s="131"/>
      <c r="AE55" s="131"/>
      <c r="AF55" s="131"/>
      <c r="AG55" s="131"/>
      <c r="AH55" s="131"/>
      <c r="AI55" s="131"/>
      <c r="AJ55" s="131"/>
      <c r="AK55" s="131"/>
      <c r="AL55" s="131"/>
      <c r="AM55" s="131"/>
      <c r="AN55" s="131"/>
      <c r="AO55" s="131"/>
    </row>
    <row r="56" ht="15.75" customHeight="1">
      <c r="A56" s="131"/>
      <c r="B56" s="131"/>
      <c r="C56" s="131"/>
      <c r="D56" s="131"/>
      <c r="E56" s="131"/>
      <c r="F56" s="131"/>
      <c r="G56" s="131"/>
      <c r="H56" s="131"/>
      <c r="I56" s="131"/>
      <c r="J56" s="131"/>
      <c r="K56" s="131"/>
      <c r="L56" s="131"/>
      <c r="M56" s="131"/>
      <c r="N56" s="131"/>
      <c r="O56" s="131"/>
      <c r="P56" s="131"/>
      <c r="Q56" s="131"/>
      <c r="R56" s="131"/>
      <c r="S56" s="131"/>
      <c r="T56" s="131"/>
      <c r="U56" s="131"/>
      <c r="V56" s="131"/>
      <c r="W56" s="131"/>
      <c r="X56" s="131"/>
      <c r="Y56" s="131"/>
      <c r="Z56" s="131"/>
      <c r="AA56" s="131"/>
      <c r="AB56" s="131"/>
      <c r="AC56" s="131"/>
      <c r="AD56" s="131"/>
      <c r="AE56" s="131"/>
      <c r="AF56" s="131"/>
      <c r="AG56" s="131"/>
      <c r="AH56" s="131"/>
      <c r="AI56" s="131"/>
      <c r="AJ56" s="131"/>
      <c r="AK56" s="131"/>
      <c r="AL56" s="131"/>
      <c r="AM56" s="131"/>
      <c r="AN56" s="131"/>
      <c r="AO56" s="131"/>
    </row>
    <row r="57" ht="15.75" customHeight="1">
      <c r="A57" s="131"/>
      <c r="B57" s="131"/>
      <c r="C57" s="131"/>
      <c r="D57" s="131"/>
      <c r="E57" s="131"/>
      <c r="F57" s="131"/>
      <c r="G57" s="131"/>
      <c r="H57" s="131"/>
      <c r="I57" s="131"/>
      <c r="J57" s="131"/>
      <c r="K57" s="131"/>
      <c r="L57" s="131"/>
      <c r="M57" s="131"/>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31"/>
    </row>
    <row r="58" ht="15.75" customHeight="1">
      <c r="A58" s="131"/>
      <c r="B58" s="131"/>
      <c r="C58" s="131"/>
      <c r="D58" s="131"/>
      <c r="E58" s="131"/>
      <c r="F58" s="131"/>
      <c r="G58" s="131"/>
      <c r="H58" s="131"/>
      <c r="I58" s="131"/>
      <c r="J58" s="131"/>
      <c r="K58" s="131"/>
      <c r="L58" s="131"/>
      <c r="M58" s="131"/>
      <c r="N58" s="131"/>
      <c r="O58" s="131"/>
      <c r="P58" s="131"/>
      <c r="Q58" s="131"/>
      <c r="R58" s="131"/>
      <c r="S58" s="131"/>
      <c r="T58" s="131"/>
      <c r="U58" s="131"/>
      <c r="V58" s="131"/>
      <c r="W58" s="131"/>
      <c r="X58" s="131"/>
      <c r="Y58" s="131"/>
      <c r="Z58" s="131"/>
      <c r="AA58" s="131"/>
      <c r="AB58" s="131"/>
      <c r="AC58" s="131"/>
      <c r="AD58" s="131"/>
      <c r="AE58" s="131"/>
      <c r="AF58" s="131"/>
      <c r="AG58" s="131"/>
      <c r="AH58" s="131"/>
      <c r="AI58" s="131"/>
      <c r="AJ58" s="131"/>
      <c r="AK58" s="131"/>
      <c r="AL58" s="131"/>
      <c r="AM58" s="131"/>
      <c r="AN58" s="131"/>
      <c r="AO58" s="131"/>
    </row>
    <row r="59" ht="15.75" customHeight="1">
      <c r="A59" s="131"/>
      <c r="B59" s="131"/>
      <c r="C59" s="131"/>
      <c r="D59" s="131"/>
      <c r="E59" s="131"/>
      <c r="F59" s="131"/>
      <c r="G59" s="131"/>
      <c r="H59" s="131"/>
      <c r="I59" s="131"/>
      <c r="J59" s="131"/>
      <c r="K59" s="131"/>
      <c r="L59" s="131"/>
      <c r="M59" s="131"/>
      <c r="N59" s="131"/>
      <c r="O59" s="131"/>
      <c r="P59" s="131"/>
      <c r="Q59" s="131"/>
      <c r="R59" s="131"/>
      <c r="S59" s="131"/>
      <c r="T59" s="131"/>
      <c r="U59" s="131"/>
      <c r="V59" s="131"/>
      <c r="W59" s="131"/>
      <c r="X59" s="131"/>
      <c r="Y59" s="131"/>
      <c r="Z59" s="131"/>
      <c r="AA59" s="131"/>
      <c r="AB59" s="131"/>
      <c r="AC59" s="131"/>
      <c r="AD59" s="131"/>
      <c r="AE59" s="131"/>
      <c r="AF59" s="131"/>
      <c r="AG59" s="131"/>
      <c r="AH59" s="131"/>
      <c r="AI59" s="131"/>
      <c r="AJ59" s="131"/>
      <c r="AK59" s="131"/>
      <c r="AL59" s="131"/>
      <c r="AM59" s="131"/>
      <c r="AN59" s="131"/>
      <c r="AO59" s="131"/>
    </row>
    <row r="60" ht="15.75" customHeight="1">
      <c r="A60" s="131"/>
      <c r="B60" s="131"/>
      <c r="C60" s="131"/>
      <c r="D60" s="131"/>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1"/>
      <c r="AF60" s="131"/>
      <c r="AG60" s="131"/>
      <c r="AH60" s="131"/>
      <c r="AI60" s="131"/>
      <c r="AJ60" s="131"/>
      <c r="AK60" s="131"/>
      <c r="AL60" s="131"/>
      <c r="AM60" s="131"/>
      <c r="AN60" s="131"/>
      <c r="AO60" s="131"/>
    </row>
    <row r="61" ht="15.75" customHeight="1">
      <c r="A61" s="131"/>
      <c r="B61" s="131"/>
      <c r="C61" s="131"/>
      <c r="D61" s="131"/>
      <c r="E61" s="131"/>
      <c r="F61" s="131"/>
      <c r="G61" s="131"/>
      <c r="H61" s="131"/>
      <c r="I61" s="131"/>
      <c r="J61" s="131"/>
      <c r="K61" s="131"/>
      <c r="L61" s="131"/>
      <c r="M61" s="131"/>
      <c r="N61" s="131"/>
      <c r="O61" s="131"/>
      <c r="P61" s="131"/>
      <c r="Q61" s="131"/>
      <c r="R61" s="131"/>
      <c r="S61" s="131"/>
      <c r="T61" s="131"/>
      <c r="U61" s="131"/>
      <c r="V61" s="131"/>
      <c r="W61" s="131"/>
      <c r="X61" s="131"/>
      <c r="Y61" s="131"/>
      <c r="Z61" s="131"/>
      <c r="AA61" s="131"/>
      <c r="AB61" s="131"/>
      <c r="AC61" s="131"/>
      <c r="AD61" s="131"/>
      <c r="AE61" s="131"/>
      <c r="AF61" s="131"/>
      <c r="AG61" s="131"/>
      <c r="AH61" s="131"/>
      <c r="AI61" s="131"/>
      <c r="AJ61" s="131"/>
      <c r="AK61" s="131"/>
      <c r="AL61" s="131"/>
      <c r="AM61" s="131"/>
      <c r="AN61" s="131"/>
      <c r="AO61" s="131"/>
    </row>
    <row r="62" ht="15.75" customHeight="1">
      <c r="A62" s="131"/>
      <c r="B62" s="131"/>
      <c r="C62" s="131"/>
      <c r="D62" s="131"/>
      <c r="E62" s="131"/>
      <c r="F62" s="131"/>
      <c r="G62" s="131"/>
      <c r="H62" s="131"/>
      <c r="I62" s="131"/>
      <c r="J62" s="131"/>
      <c r="K62" s="131"/>
      <c r="L62" s="131"/>
      <c r="M62" s="131"/>
      <c r="N62" s="131"/>
      <c r="O62" s="131"/>
      <c r="P62" s="131"/>
      <c r="Q62" s="131"/>
      <c r="R62" s="131"/>
      <c r="S62" s="131"/>
      <c r="T62" s="131"/>
      <c r="U62" s="131"/>
      <c r="V62" s="131"/>
      <c r="W62" s="131"/>
      <c r="X62" s="131"/>
      <c r="Y62" s="131"/>
      <c r="Z62" s="131"/>
      <c r="AA62" s="131"/>
      <c r="AB62" s="131"/>
      <c r="AC62" s="131"/>
      <c r="AD62" s="131"/>
      <c r="AE62" s="131"/>
      <c r="AF62" s="131"/>
      <c r="AG62" s="131"/>
      <c r="AH62" s="131"/>
      <c r="AI62" s="131"/>
      <c r="AJ62" s="131"/>
      <c r="AK62" s="131"/>
      <c r="AL62" s="131"/>
      <c r="AM62" s="131"/>
      <c r="AN62" s="131"/>
      <c r="AO62" s="131"/>
    </row>
    <row r="63" ht="15.75" customHeight="1">
      <c r="A63" s="131"/>
      <c r="B63" s="131"/>
      <c r="C63" s="131"/>
      <c r="D63" s="131"/>
      <c r="E63" s="131"/>
      <c r="F63" s="131"/>
      <c r="G63" s="131"/>
      <c r="H63" s="131"/>
      <c r="I63" s="131"/>
      <c r="J63" s="131"/>
      <c r="K63" s="131"/>
      <c r="L63" s="131"/>
      <c r="M63" s="131"/>
      <c r="N63" s="131"/>
      <c r="O63" s="131"/>
      <c r="P63" s="131"/>
      <c r="Q63" s="131"/>
      <c r="R63" s="131"/>
      <c r="S63" s="131"/>
      <c r="T63" s="131"/>
      <c r="U63" s="131"/>
      <c r="V63" s="131"/>
      <c r="W63" s="131"/>
      <c r="X63" s="131"/>
      <c r="Y63" s="131"/>
      <c r="Z63" s="131"/>
      <c r="AA63" s="131"/>
      <c r="AB63" s="131"/>
      <c r="AC63" s="131"/>
      <c r="AD63" s="131"/>
      <c r="AE63" s="131"/>
      <c r="AF63" s="131"/>
      <c r="AG63" s="131"/>
      <c r="AH63" s="131"/>
      <c r="AI63" s="131"/>
      <c r="AJ63" s="131"/>
      <c r="AK63" s="131"/>
      <c r="AL63" s="131"/>
      <c r="AM63" s="131"/>
      <c r="AN63" s="131"/>
      <c r="AO63" s="131"/>
    </row>
    <row r="64" ht="15.75" customHeight="1">
      <c r="A64" s="131"/>
      <c r="B64" s="131"/>
      <c r="C64" s="131"/>
      <c r="D64" s="131"/>
      <c r="E64" s="131"/>
      <c r="F64" s="131"/>
      <c r="G64" s="131"/>
      <c r="H64" s="131"/>
      <c r="I64" s="131"/>
      <c r="J64" s="131"/>
      <c r="K64" s="131"/>
      <c r="L64" s="131"/>
      <c r="M64" s="131"/>
      <c r="N64" s="131"/>
      <c r="O64" s="131"/>
      <c r="P64" s="131"/>
      <c r="Q64" s="131"/>
      <c r="R64" s="131"/>
      <c r="S64" s="131"/>
      <c r="T64" s="131"/>
      <c r="U64" s="131"/>
      <c r="V64" s="131"/>
      <c r="W64" s="131"/>
      <c r="X64" s="131"/>
      <c r="Y64" s="131"/>
      <c r="Z64" s="131"/>
      <c r="AA64" s="131"/>
      <c r="AB64" s="131"/>
      <c r="AC64" s="131"/>
      <c r="AD64" s="131"/>
      <c r="AE64" s="131"/>
      <c r="AF64" s="131"/>
      <c r="AG64" s="131"/>
      <c r="AH64" s="131"/>
      <c r="AI64" s="131"/>
      <c r="AJ64" s="131"/>
      <c r="AK64" s="131"/>
      <c r="AL64" s="131"/>
      <c r="AM64" s="131"/>
      <c r="AN64" s="131"/>
      <c r="AO64" s="131"/>
    </row>
    <row r="65" ht="15.75" customHeight="1">
      <c r="A65" s="131"/>
      <c r="B65" s="131"/>
      <c r="C65" s="131"/>
      <c r="D65" s="131"/>
      <c r="E65" s="131"/>
      <c r="F65" s="131"/>
      <c r="G65" s="131"/>
      <c r="H65" s="131"/>
      <c r="I65" s="131"/>
      <c r="J65" s="131"/>
      <c r="K65" s="131"/>
      <c r="L65" s="131"/>
      <c r="M65" s="131"/>
      <c r="N65" s="131"/>
      <c r="O65" s="131"/>
      <c r="P65" s="131"/>
      <c r="Q65" s="131"/>
      <c r="R65" s="131"/>
      <c r="S65" s="131"/>
      <c r="T65" s="131"/>
      <c r="U65" s="131"/>
      <c r="V65" s="131"/>
      <c r="W65" s="131"/>
      <c r="X65" s="131"/>
      <c r="Y65" s="131"/>
      <c r="Z65" s="131"/>
      <c r="AA65" s="131"/>
      <c r="AB65" s="131"/>
      <c r="AC65" s="131"/>
      <c r="AD65" s="131"/>
      <c r="AE65" s="131"/>
      <c r="AF65" s="131"/>
      <c r="AG65" s="131"/>
      <c r="AH65" s="131"/>
      <c r="AI65" s="131"/>
      <c r="AJ65" s="131"/>
      <c r="AK65" s="131"/>
      <c r="AL65" s="131"/>
      <c r="AM65" s="131"/>
      <c r="AN65" s="131"/>
      <c r="AO65" s="131"/>
    </row>
    <row r="66" ht="15.75" customHeight="1">
      <c r="A66" s="131"/>
      <c r="B66" s="131"/>
      <c r="C66" s="131"/>
      <c r="D66" s="131"/>
      <c r="E66" s="131"/>
      <c r="F66" s="131"/>
      <c r="G66" s="131"/>
      <c r="H66" s="131"/>
      <c r="I66" s="131"/>
      <c r="J66" s="131"/>
      <c r="K66" s="131"/>
      <c r="L66" s="131"/>
      <c r="M66" s="131"/>
      <c r="N66" s="131"/>
      <c r="O66" s="131"/>
      <c r="P66" s="131"/>
      <c r="Q66" s="131"/>
      <c r="R66" s="131"/>
      <c r="S66" s="131"/>
      <c r="T66" s="131"/>
      <c r="U66" s="131"/>
      <c r="V66" s="131"/>
      <c r="W66" s="131"/>
      <c r="X66" s="131"/>
      <c r="Y66" s="131"/>
      <c r="Z66" s="131"/>
      <c r="AA66" s="131"/>
      <c r="AB66" s="131"/>
      <c r="AC66" s="131"/>
      <c r="AD66" s="131"/>
      <c r="AE66" s="131"/>
      <c r="AF66" s="131"/>
      <c r="AG66" s="131"/>
      <c r="AH66" s="131"/>
      <c r="AI66" s="131"/>
      <c r="AJ66" s="131"/>
      <c r="AK66" s="131"/>
      <c r="AL66" s="131"/>
      <c r="AM66" s="131"/>
      <c r="AN66" s="131"/>
      <c r="AO66" s="131"/>
    </row>
    <row r="67" ht="15.75" customHeight="1">
      <c r="A67" s="131"/>
      <c r="B67" s="131"/>
      <c r="C67" s="131"/>
      <c r="D67" s="131"/>
      <c r="E67" s="131"/>
      <c r="F67" s="131"/>
      <c r="G67" s="131"/>
      <c r="H67" s="131"/>
      <c r="I67" s="131"/>
      <c r="J67" s="131"/>
      <c r="K67" s="131"/>
      <c r="L67" s="131"/>
      <c r="M67" s="131"/>
      <c r="N67" s="131"/>
      <c r="O67" s="131"/>
      <c r="P67" s="131"/>
      <c r="Q67" s="131"/>
      <c r="R67" s="131"/>
      <c r="S67" s="131"/>
      <c r="T67" s="131"/>
      <c r="U67" s="131"/>
      <c r="V67" s="131"/>
      <c r="W67" s="131"/>
      <c r="X67" s="131"/>
      <c r="Y67" s="131"/>
      <c r="Z67" s="131"/>
      <c r="AA67" s="131"/>
      <c r="AB67" s="131"/>
      <c r="AC67" s="131"/>
      <c r="AD67" s="131"/>
      <c r="AE67" s="131"/>
      <c r="AF67" s="131"/>
      <c r="AG67" s="131"/>
      <c r="AH67" s="131"/>
      <c r="AI67" s="131"/>
      <c r="AJ67" s="131"/>
      <c r="AK67" s="131"/>
      <c r="AL67" s="131"/>
      <c r="AM67" s="131"/>
      <c r="AN67" s="131"/>
      <c r="AO67" s="131"/>
    </row>
    <row r="68" ht="15.75" customHeight="1">
      <c r="A68" s="131"/>
      <c r="B68" s="131"/>
      <c r="C68" s="131"/>
      <c r="D68" s="131"/>
      <c r="E68" s="131"/>
      <c r="F68" s="131"/>
      <c r="G68" s="131"/>
      <c r="H68" s="131"/>
      <c r="I68" s="131"/>
      <c r="J68" s="131"/>
      <c r="K68" s="131"/>
      <c r="L68" s="131"/>
      <c r="M68" s="131"/>
      <c r="N68" s="131"/>
      <c r="O68" s="131"/>
      <c r="P68" s="131"/>
      <c r="Q68" s="131"/>
      <c r="R68" s="131"/>
      <c r="S68" s="131"/>
      <c r="T68" s="131"/>
      <c r="U68" s="131"/>
      <c r="V68" s="131"/>
      <c r="W68" s="131"/>
      <c r="X68" s="131"/>
      <c r="Y68" s="131"/>
      <c r="Z68" s="131"/>
      <c r="AA68" s="131"/>
      <c r="AB68" s="131"/>
      <c r="AC68" s="131"/>
      <c r="AD68" s="131"/>
      <c r="AE68" s="131"/>
      <c r="AF68" s="131"/>
      <c r="AG68" s="131"/>
      <c r="AH68" s="131"/>
      <c r="AI68" s="131"/>
      <c r="AJ68" s="131"/>
      <c r="AK68" s="131"/>
      <c r="AL68" s="131"/>
      <c r="AM68" s="131"/>
      <c r="AN68" s="131"/>
      <c r="AO68" s="131"/>
    </row>
    <row r="69" ht="15.75" customHeight="1">
      <c r="A69" s="131"/>
      <c r="B69" s="131"/>
      <c r="C69" s="131"/>
      <c r="D69" s="131"/>
      <c r="E69" s="131"/>
      <c r="F69" s="131"/>
      <c r="G69" s="131"/>
      <c r="H69" s="131"/>
      <c r="I69" s="131"/>
      <c r="J69" s="131"/>
      <c r="K69" s="131"/>
      <c r="L69" s="131"/>
      <c r="M69" s="131"/>
      <c r="N69" s="131"/>
      <c r="O69" s="131"/>
      <c r="P69" s="131"/>
      <c r="Q69" s="131"/>
      <c r="R69" s="131"/>
      <c r="S69" s="131"/>
      <c r="T69" s="131"/>
      <c r="U69" s="131"/>
      <c r="V69" s="131"/>
      <c r="W69" s="131"/>
      <c r="X69" s="131"/>
      <c r="Y69" s="131"/>
      <c r="Z69" s="131"/>
      <c r="AA69" s="131"/>
      <c r="AB69" s="131"/>
      <c r="AC69" s="131"/>
      <c r="AD69" s="131"/>
      <c r="AE69" s="131"/>
      <c r="AF69" s="131"/>
      <c r="AG69" s="131"/>
      <c r="AH69" s="131"/>
      <c r="AI69" s="131"/>
      <c r="AJ69" s="131"/>
      <c r="AK69" s="131"/>
      <c r="AL69" s="131"/>
      <c r="AM69" s="131"/>
      <c r="AN69" s="131"/>
      <c r="AO69" s="131"/>
    </row>
    <row r="70" ht="15.75" customHeight="1">
      <c r="A70" s="131"/>
      <c r="B70" s="131"/>
      <c r="C70" s="131"/>
      <c r="D70" s="131"/>
      <c r="E70" s="131"/>
      <c r="F70" s="131"/>
      <c r="G70" s="131"/>
      <c r="H70" s="131"/>
      <c r="I70" s="131"/>
      <c r="J70" s="131"/>
      <c r="K70" s="131"/>
      <c r="L70" s="131"/>
      <c r="M70" s="131"/>
      <c r="N70" s="131"/>
      <c r="O70" s="131"/>
      <c r="P70" s="131"/>
      <c r="Q70" s="131"/>
      <c r="R70" s="131"/>
      <c r="S70" s="131"/>
      <c r="T70" s="131"/>
      <c r="U70" s="131"/>
      <c r="V70" s="131"/>
      <c r="W70" s="131"/>
      <c r="X70" s="131"/>
      <c r="Y70" s="131"/>
      <c r="Z70" s="131"/>
      <c r="AA70" s="131"/>
      <c r="AB70" s="131"/>
      <c r="AC70" s="131"/>
      <c r="AD70" s="131"/>
      <c r="AE70" s="131"/>
      <c r="AF70" s="131"/>
      <c r="AG70" s="131"/>
      <c r="AH70" s="131"/>
      <c r="AI70" s="131"/>
      <c r="AJ70" s="131"/>
      <c r="AK70" s="131"/>
      <c r="AL70" s="131"/>
      <c r="AM70" s="131"/>
      <c r="AN70" s="131"/>
      <c r="AO70" s="131"/>
    </row>
    <row r="71" ht="15.75" customHeight="1">
      <c r="A71" s="131"/>
      <c r="B71" s="131"/>
      <c r="C71" s="131"/>
      <c r="D71" s="131"/>
      <c r="E71" s="131"/>
      <c r="F71" s="131"/>
      <c r="G71" s="131"/>
      <c r="H71" s="131"/>
      <c r="I71" s="131"/>
      <c r="J71" s="131"/>
      <c r="K71" s="131"/>
      <c r="L71" s="131"/>
      <c r="M71" s="131"/>
      <c r="N71" s="131"/>
      <c r="O71" s="131"/>
      <c r="P71" s="131"/>
      <c r="Q71" s="131"/>
      <c r="R71" s="131"/>
      <c r="S71" s="131"/>
      <c r="T71" s="131"/>
      <c r="U71" s="131"/>
      <c r="V71" s="131"/>
      <c r="W71" s="131"/>
      <c r="X71" s="131"/>
      <c r="Y71" s="131"/>
      <c r="Z71" s="131"/>
      <c r="AA71" s="131"/>
      <c r="AB71" s="131"/>
      <c r="AC71" s="131"/>
      <c r="AD71" s="131"/>
      <c r="AE71" s="131"/>
      <c r="AF71" s="131"/>
      <c r="AG71" s="131"/>
      <c r="AH71" s="131"/>
      <c r="AI71" s="131"/>
      <c r="AJ71" s="131"/>
      <c r="AK71" s="131"/>
      <c r="AL71" s="131"/>
      <c r="AM71" s="131"/>
      <c r="AN71" s="131"/>
      <c r="AO71" s="131"/>
    </row>
    <row r="72" ht="15.75" customHeight="1">
      <c r="A72" s="131"/>
      <c r="B72" s="131"/>
      <c r="C72" s="131"/>
      <c r="D72" s="131"/>
      <c r="E72" s="131"/>
      <c r="F72" s="131"/>
      <c r="G72" s="131"/>
      <c r="H72" s="131"/>
      <c r="I72" s="131"/>
      <c r="J72" s="131"/>
      <c r="K72" s="131"/>
      <c r="L72" s="131"/>
      <c r="M72" s="131"/>
      <c r="N72" s="131"/>
      <c r="O72" s="131"/>
      <c r="P72" s="131"/>
      <c r="Q72" s="131"/>
      <c r="R72" s="131"/>
      <c r="S72" s="131"/>
      <c r="T72" s="131"/>
      <c r="U72" s="131"/>
      <c r="V72" s="131"/>
      <c r="W72" s="131"/>
      <c r="X72" s="131"/>
      <c r="Y72" s="131"/>
      <c r="Z72" s="131"/>
      <c r="AA72" s="131"/>
      <c r="AB72" s="131"/>
      <c r="AC72" s="131"/>
      <c r="AD72" s="131"/>
      <c r="AE72" s="131"/>
      <c r="AF72" s="131"/>
      <c r="AG72" s="131"/>
      <c r="AH72" s="131"/>
      <c r="AI72" s="131"/>
      <c r="AJ72" s="131"/>
      <c r="AK72" s="131"/>
      <c r="AL72" s="131"/>
      <c r="AM72" s="131"/>
      <c r="AN72" s="131"/>
      <c r="AO72" s="131"/>
    </row>
    <row r="73" ht="15.75" customHeight="1">
      <c r="A73" s="131"/>
      <c r="B73" s="131"/>
      <c r="C73" s="131"/>
      <c r="D73" s="131"/>
      <c r="E73" s="131"/>
      <c r="F73" s="131"/>
      <c r="G73" s="131"/>
      <c r="H73" s="131"/>
      <c r="I73" s="131"/>
      <c r="J73" s="131"/>
      <c r="K73" s="131"/>
      <c r="L73" s="131"/>
      <c r="M73" s="131"/>
      <c r="N73" s="131"/>
      <c r="O73" s="131"/>
      <c r="P73" s="131"/>
      <c r="Q73" s="131"/>
      <c r="R73" s="131"/>
      <c r="S73" s="131"/>
      <c r="T73" s="131"/>
      <c r="U73" s="131"/>
      <c r="V73" s="131"/>
      <c r="W73" s="131"/>
      <c r="X73" s="131"/>
      <c r="Y73" s="131"/>
      <c r="Z73" s="131"/>
      <c r="AA73" s="131"/>
      <c r="AB73" s="131"/>
      <c r="AC73" s="131"/>
      <c r="AD73" s="131"/>
      <c r="AE73" s="131"/>
      <c r="AF73" s="131"/>
      <c r="AG73" s="131"/>
      <c r="AH73" s="131"/>
      <c r="AI73" s="131"/>
      <c r="AJ73" s="131"/>
      <c r="AK73" s="131"/>
      <c r="AL73" s="131"/>
      <c r="AM73" s="131"/>
      <c r="AN73" s="131"/>
      <c r="AO73" s="131"/>
    </row>
    <row r="74" ht="15.75" customHeight="1">
      <c r="A74" s="131"/>
      <c r="B74" s="131"/>
      <c r="C74" s="131"/>
      <c r="D74" s="131"/>
      <c r="E74" s="131"/>
      <c r="F74" s="131"/>
      <c r="G74" s="131"/>
      <c r="H74" s="131"/>
      <c r="I74" s="131"/>
      <c r="J74" s="131"/>
      <c r="K74" s="131"/>
      <c r="L74" s="131"/>
      <c r="M74" s="131"/>
      <c r="N74" s="131"/>
      <c r="O74" s="131"/>
      <c r="P74" s="131"/>
      <c r="Q74" s="131"/>
      <c r="R74" s="131"/>
      <c r="S74" s="131"/>
      <c r="T74" s="131"/>
      <c r="U74" s="131"/>
      <c r="V74" s="131"/>
      <c r="W74" s="131"/>
      <c r="X74" s="131"/>
      <c r="Y74" s="131"/>
      <c r="Z74" s="131"/>
      <c r="AA74" s="131"/>
      <c r="AB74" s="131"/>
      <c r="AC74" s="131"/>
      <c r="AD74" s="131"/>
      <c r="AE74" s="131"/>
      <c r="AF74" s="131"/>
      <c r="AG74" s="131"/>
      <c r="AH74" s="131"/>
      <c r="AI74" s="131"/>
      <c r="AJ74" s="131"/>
      <c r="AK74" s="131"/>
      <c r="AL74" s="131"/>
      <c r="AM74" s="131"/>
      <c r="AN74" s="131"/>
      <c r="AO74" s="131"/>
    </row>
    <row r="75" ht="15.75" customHeight="1">
      <c r="A75" s="131"/>
      <c r="B75" s="131"/>
      <c r="C75" s="131"/>
      <c r="D75" s="131"/>
      <c r="E75" s="131"/>
      <c r="F75" s="131"/>
      <c r="G75" s="131"/>
      <c r="H75" s="131"/>
      <c r="I75" s="131"/>
      <c r="J75" s="131"/>
      <c r="K75" s="131"/>
      <c r="L75" s="131"/>
      <c r="M75" s="131"/>
      <c r="N75" s="131"/>
      <c r="O75" s="131"/>
      <c r="P75" s="131"/>
      <c r="Q75" s="131"/>
      <c r="R75" s="131"/>
      <c r="S75" s="131"/>
      <c r="T75" s="131"/>
      <c r="U75" s="131"/>
      <c r="V75" s="131"/>
      <c r="W75" s="131"/>
      <c r="X75" s="131"/>
      <c r="Y75" s="131"/>
      <c r="Z75" s="131"/>
      <c r="AA75" s="131"/>
      <c r="AB75" s="131"/>
      <c r="AC75" s="131"/>
      <c r="AD75" s="131"/>
      <c r="AE75" s="131"/>
      <c r="AF75" s="131"/>
      <c r="AG75" s="131"/>
      <c r="AH75" s="131"/>
      <c r="AI75" s="131"/>
      <c r="AJ75" s="131"/>
      <c r="AK75" s="131"/>
      <c r="AL75" s="131"/>
      <c r="AM75" s="131"/>
      <c r="AN75" s="131"/>
      <c r="AO75" s="131"/>
    </row>
    <row r="76" ht="15.75" customHeight="1">
      <c r="A76" s="131"/>
      <c r="B76" s="131"/>
      <c r="C76" s="131"/>
      <c r="D76" s="131"/>
      <c r="E76" s="131"/>
      <c r="F76" s="131"/>
      <c r="G76" s="131"/>
      <c r="H76" s="131"/>
      <c r="I76" s="131"/>
      <c r="J76" s="131"/>
      <c r="K76" s="131"/>
      <c r="L76" s="131"/>
      <c r="M76" s="131"/>
      <c r="N76" s="131"/>
      <c r="O76" s="131"/>
      <c r="P76" s="131"/>
      <c r="Q76" s="131"/>
      <c r="R76" s="131"/>
      <c r="S76" s="131"/>
      <c r="T76" s="131"/>
      <c r="U76" s="131"/>
      <c r="V76" s="131"/>
      <c r="W76" s="131"/>
      <c r="X76" s="131"/>
      <c r="Y76" s="131"/>
      <c r="Z76" s="131"/>
      <c r="AA76" s="131"/>
      <c r="AB76" s="131"/>
      <c r="AC76" s="131"/>
      <c r="AD76" s="131"/>
      <c r="AE76" s="131"/>
      <c r="AF76" s="131"/>
      <c r="AG76" s="131"/>
      <c r="AH76" s="131"/>
      <c r="AI76" s="131"/>
      <c r="AJ76" s="131"/>
      <c r="AK76" s="131"/>
      <c r="AL76" s="131"/>
      <c r="AM76" s="131"/>
      <c r="AN76" s="131"/>
      <c r="AO76" s="131"/>
    </row>
    <row r="77" ht="15.75" customHeight="1">
      <c r="A77" s="131"/>
      <c r="B77" s="131"/>
      <c r="C77" s="131"/>
      <c r="D77" s="131"/>
      <c r="E77" s="131"/>
      <c r="F77" s="131"/>
      <c r="G77" s="131"/>
      <c r="H77" s="131"/>
      <c r="I77" s="131"/>
      <c r="J77" s="131"/>
      <c r="K77" s="131"/>
      <c r="L77" s="131"/>
      <c r="M77" s="131"/>
      <c r="N77" s="131"/>
      <c r="O77" s="131"/>
      <c r="P77" s="131"/>
      <c r="Q77" s="131"/>
      <c r="R77" s="131"/>
      <c r="S77" s="131"/>
      <c r="T77" s="131"/>
      <c r="U77" s="131"/>
      <c r="V77" s="131"/>
      <c r="W77" s="131"/>
      <c r="X77" s="131"/>
      <c r="Y77" s="131"/>
      <c r="Z77" s="131"/>
      <c r="AA77" s="131"/>
      <c r="AB77" s="131"/>
      <c r="AC77" s="131"/>
      <c r="AD77" s="131"/>
      <c r="AE77" s="131"/>
      <c r="AF77" s="131"/>
      <c r="AG77" s="131"/>
      <c r="AH77" s="131"/>
      <c r="AI77" s="131"/>
      <c r="AJ77" s="131"/>
      <c r="AK77" s="131"/>
      <c r="AL77" s="131"/>
      <c r="AM77" s="131"/>
      <c r="AN77" s="131"/>
      <c r="AO77" s="131"/>
    </row>
    <row r="78" ht="15.75" customHeight="1">
      <c r="A78" s="131"/>
      <c r="B78" s="131"/>
      <c r="C78" s="131"/>
      <c r="D78" s="131"/>
      <c r="E78" s="131"/>
      <c r="F78" s="131"/>
      <c r="G78" s="131"/>
      <c r="H78" s="131"/>
      <c r="I78" s="131"/>
      <c r="J78" s="131"/>
      <c r="K78" s="131"/>
      <c r="L78" s="131"/>
      <c r="M78" s="131"/>
      <c r="N78" s="131"/>
      <c r="O78" s="131"/>
      <c r="P78" s="131"/>
      <c r="Q78" s="131"/>
      <c r="R78" s="131"/>
      <c r="S78" s="131"/>
      <c r="T78" s="131"/>
      <c r="U78" s="131"/>
      <c r="V78" s="131"/>
      <c r="W78" s="131"/>
      <c r="X78" s="131"/>
      <c r="Y78" s="131"/>
      <c r="Z78" s="131"/>
      <c r="AA78" s="131"/>
      <c r="AB78" s="131"/>
      <c r="AC78" s="131"/>
      <c r="AD78" s="131"/>
      <c r="AE78" s="131"/>
      <c r="AF78" s="131"/>
      <c r="AG78" s="131"/>
      <c r="AH78" s="131"/>
      <c r="AI78" s="131"/>
      <c r="AJ78" s="131"/>
      <c r="AK78" s="131"/>
      <c r="AL78" s="131"/>
      <c r="AM78" s="131"/>
      <c r="AN78" s="131"/>
      <c r="AO78" s="131"/>
    </row>
    <row r="79" ht="15.75" customHeight="1">
      <c r="A79" s="131"/>
      <c r="B79" s="131"/>
      <c r="C79" s="131"/>
      <c r="D79" s="131"/>
      <c r="E79" s="131"/>
      <c r="F79" s="131"/>
      <c r="G79" s="131"/>
      <c r="H79" s="131"/>
      <c r="I79" s="131"/>
      <c r="J79" s="131"/>
      <c r="K79" s="131"/>
      <c r="L79" s="131"/>
      <c r="M79" s="131"/>
      <c r="N79" s="131"/>
      <c r="O79" s="131"/>
      <c r="P79" s="131"/>
      <c r="Q79" s="131"/>
      <c r="R79" s="131"/>
      <c r="S79" s="131"/>
      <c r="T79" s="131"/>
      <c r="U79" s="131"/>
      <c r="V79" s="131"/>
      <c r="W79" s="131"/>
      <c r="X79" s="131"/>
      <c r="Y79" s="131"/>
      <c r="Z79" s="131"/>
      <c r="AA79" s="131"/>
      <c r="AB79" s="131"/>
      <c r="AC79" s="131"/>
      <c r="AD79" s="131"/>
      <c r="AE79" s="131"/>
      <c r="AF79" s="131"/>
      <c r="AG79" s="131"/>
      <c r="AH79" s="131"/>
      <c r="AI79" s="131"/>
      <c r="AJ79" s="131"/>
      <c r="AK79" s="131"/>
      <c r="AL79" s="131"/>
      <c r="AM79" s="131"/>
      <c r="AN79" s="131"/>
      <c r="AO79" s="131"/>
    </row>
    <row r="80" ht="15.75" customHeight="1">
      <c r="A80" s="131"/>
      <c r="B80" s="131"/>
      <c r="C80" s="131"/>
      <c r="D80" s="131"/>
      <c r="E80" s="131"/>
      <c r="F80" s="131"/>
      <c r="G80" s="131"/>
      <c r="H80" s="131"/>
      <c r="I80" s="131"/>
      <c r="J80" s="131"/>
      <c r="K80" s="131"/>
      <c r="L80" s="131"/>
      <c r="M80" s="131"/>
      <c r="N80" s="131"/>
      <c r="O80" s="131"/>
      <c r="P80" s="131"/>
      <c r="Q80" s="131"/>
      <c r="R80" s="131"/>
      <c r="S80" s="131"/>
      <c r="T80" s="131"/>
      <c r="U80" s="131"/>
      <c r="V80" s="131"/>
      <c r="W80" s="131"/>
      <c r="X80" s="131"/>
      <c r="Y80" s="131"/>
      <c r="Z80" s="131"/>
      <c r="AA80" s="131"/>
      <c r="AB80" s="131"/>
      <c r="AC80" s="131"/>
      <c r="AD80" s="131"/>
      <c r="AE80" s="131"/>
      <c r="AF80" s="131"/>
      <c r="AG80" s="131"/>
      <c r="AH80" s="131"/>
      <c r="AI80" s="131"/>
      <c r="AJ80" s="131"/>
      <c r="AK80" s="131"/>
      <c r="AL80" s="131"/>
      <c r="AM80" s="131"/>
      <c r="AN80" s="131"/>
      <c r="AO80" s="131"/>
    </row>
    <row r="81" ht="15.75" customHeight="1">
      <c r="A81" s="131"/>
      <c r="B81" s="131"/>
      <c r="C81" s="131"/>
      <c r="D81" s="131"/>
      <c r="E81" s="131"/>
      <c r="F81" s="131"/>
      <c r="G81" s="131"/>
      <c r="H81" s="131"/>
      <c r="I81" s="131"/>
      <c r="J81" s="131"/>
      <c r="K81" s="131"/>
      <c r="L81" s="131"/>
      <c r="M81" s="131"/>
      <c r="N81" s="131"/>
      <c r="O81" s="131"/>
      <c r="P81" s="131"/>
      <c r="Q81" s="131"/>
      <c r="R81" s="131"/>
      <c r="S81" s="131"/>
      <c r="T81" s="131"/>
      <c r="U81" s="131"/>
      <c r="V81" s="131"/>
      <c r="W81" s="131"/>
      <c r="X81" s="131"/>
      <c r="Y81" s="131"/>
      <c r="Z81" s="131"/>
      <c r="AA81" s="131"/>
      <c r="AB81" s="131"/>
      <c r="AC81" s="131"/>
      <c r="AD81" s="131"/>
      <c r="AE81" s="131"/>
      <c r="AF81" s="131"/>
      <c r="AG81" s="131"/>
      <c r="AH81" s="131"/>
      <c r="AI81" s="131"/>
      <c r="AJ81" s="131"/>
      <c r="AK81" s="131"/>
      <c r="AL81" s="131"/>
      <c r="AM81" s="131"/>
      <c r="AN81" s="131"/>
      <c r="AO81" s="131"/>
    </row>
    <row r="82" ht="15.75" customHeight="1">
      <c r="A82" s="131"/>
      <c r="B82" s="131"/>
      <c r="C82" s="131"/>
      <c r="D82" s="131"/>
      <c r="E82" s="131"/>
      <c r="F82" s="131"/>
      <c r="G82" s="131"/>
      <c r="H82" s="131"/>
      <c r="I82" s="131"/>
      <c r="J82" s="131"/>
      <c r="K82" s="131"/>
      <c r="L82" s="131"/>
      <c r="M82" s="131"/>
      <c r="N82" s="131"/>
      <c r="O82" s="131"/>
      <c r="P82" s="131"/>
      <c r="Q82" s="131"/>
      <c r="R82" s="131"/>
      <c r="S82" s="131"/>
      <c r="T82" s="131"/>
      <c r="U82" s="131"/>
      <c r="V82" s="131"/>
      <c r="W82" s="131"/>
      <c r="X82" s="131"/>
      <c r="Y82" s="131"/>
      <c r="Z82" s="131"/>
      <c r="AA82" s="131"/>
      <c r="AB82" s="131"/>
      <c r="AC82" s="131"/>
      <c r="AD82" s="131"/>
      <c r="AE82" s="131"/>
      <c r="AF82" s="131"/>
      <c r="AG82" s="131"/>
      <c r="AH82" s="131"/>
      <c r="AI82" s="131"/>
      <c r="AJ82" s="131"/>
      <c r="AK82" s="131"/>
      <c r="AL82" s="131"/>
      <c r="AM82" s="131"/>
      <c r="AN82" s="131"/>
      <c r="AO82" s="131"/>
    </row>
    <row r="83" ht="15.75" customHeight="1">
      <c r="A83" s="131"/>
      <c r="B83" s="131"/>
      <c r="C83" s="131"/>
      <c r="D83" s="131"/>
      <c r="E83" s="131"/>
      <c r="F83" s="131"/>
      <c r="G83" s="131"/>
      <c r="H83" s="131"/>
      <c r="I83" s="131"/>
      <c r="J83" s="131"/>
      <c r="K83" s="131"/>
      <c r="L83" s="131"/>
      <c r="M83" s="131"/>
      <c r="N83" s="131"/>
      <c r="O83" s="131"/>
      <c r="P83" s="131"/>
      <c r="Q83" s="131"/>
      <c r="R83" s="131"/>
      <c r="S83" s="131"/>
      <c r="T83" s="131"/>
      <c r="U83" s="131"/>
      <c r="V83" s="131"/>
      <c r="W83" s="131"/>
      <c r="X83" s="131"/>
      <c r="Y83" s="131"/>
      <c r="Z83" s="131"/>
      <c r="AA83" s="131"/>
      <c r="AB83" s="131"/>
      <c r="AC83" s="131"/>
      <c r="AD83" s="131"/>
      <c r="AE83" s="131"/>
      <c r="AF83" s="131"/>
      <c r="AG83" s="131"/>
      <c r="AH83" s="131"/>
      <c r="AI83" s="131"/>
      <c r="AJ83" s="131"/>
      <c r="AK83" s="131"/>
      <c r="AL83" s="131"/>
      <c r="AM83" s="131"/>
      <c r="AN83" s="131"/>
      <c r="AO83" s="131"/>
    </row>
    <row r="84" ht="15.75" customHeight="1">
      <c r="A84" s="131"/>
      <c r="B84" s="131"/>
      <c r="C84" s="131"/>
      <c r="D84" s="131"/>
      <c r="E84" s="131"/>
      <c r="F84" s="131"/>
      <c r="G84" s="131"/>
      <c r="H84" s="131"/>
      <c r="I84" s="131"/>
      <c r="J84" s="131"/>
      <c r="K84" s="131"/>
      <c r="L84" s="131"/>
      <c r="M84" s="131"/>
      <c r="N84" s="131"/>
      <c r="O84" s="131"/>
      <c r="P84" s="131"/>
      <c r="Q84" s="131"/>
      <c r="R84" s="131"/>
      <c r="S84" s="131"/>
      <c r="T84" s="131"/>
      <c r="U84" s="131"/>
      <c r="V84" s="131"/>
      <c r="W84" s="131"/>
      <c r="X84" s="131"/>
      <c r="Y84" s="131"/>
      <c r="Z84" s="131"/>
      <c r="AA84" s="131"/>
      <c r="AB84" s="131"/>
      <c r="AC84" s="131"/>
      <c r="AD84" s="131"/>
      <c r="AE84" s="131"/>
      <c r="AF84" s="131"/>
      <c r="AG84" s="131"/>
      <c r="AH84" s="131"/>
      <c r="AI84" s="131"/>
      <c r="AJ84" s="131"/>
      <c r="AK84" s="131"/>
      <c r="AL84" s="131"/>
      <c r="AM84" s="131"/>
      <c r="AN84" s="131"/>
      <c r="AO84" s="131"/>
    </row>
    <row r="85" ht="15.75" customHeight="1">
      <c r="A85" s="131"/>
      <c r="B85" s="131"/>
      <c r="C85" s="131"/>
      <c r="D85" s="131"/>
      <c r="E85" s="131"/>
      <c r="F85" s="131"/>
      <c r="G85" s="131"/>
      <c r="H85" s="131"/>
      <c r="I85" s="131"/>
      <c r="J85" s="131"/>
      <c r="K85" s="131"/>
      <c r="L85" s="131"/>
      <c r="M85" s="131"/>
      <c r="N85" s="131"/>
      <c r="O85" s="131"/>
      <c r="P85" s="131"/>
      <c r="Q85" s="131"/>
      <c r="R85" s="131"/>
      <c r="S85" s="131"/>
      <c r="T85" s="131"/>
      <c r="U85" s="131"/>
      <c r="V85" s="131"/>
      <c r="W85" s="131"/>
      <c r="X85" s="131"/>
      <c r="Y85" s="131"/>
      <c r="Z85" s="131"/>
      <c r="AA85" s="131"/>
      <c r="AB85" s="131"/>
      <c r="AC85" s="131"/>
      <c r="AD85" s="131"/>
      <c r="AE85" s="131"/>
      <c r="AF85" s="131"/>
      <c r="AG85" s="131"/>
      <c r="AH85" s="131"/>
      <c r="AI85" s="131"/>
      <c r="AJ85" s="131"/>
      <c r="AK85" s="131"/>
      <c r="AL85" s="131"/>
      <c r="AM85" s="131"/>
      <c r="AN85" s="131"/>
      <c r="AO85" s="131"/>
    </row>
    <row r="86" ht="15.75" customHeight="1">
      <c r="A86" s="131"/>
      <c r="B86" s="131"/>
      <c r="C86" s="131"/>
      <c r="D86" s="131"/>
      <c r="E86" s="131"/>
      <c r="F86" s="131"/>
      <c r="G86" s="131"/>
      <c r="H86" s="131"/>
      <c r="I86" s="131"/>
      <c r="J86" s="131"/>
      <c r="K86" s="131"/>
      <c r="L86" s="131"/>
      <c r="M86" s="131"/>
      <c r="N86" s="131"/>
      <c r="O86" s="131"/>
      <c r="P86" s="131"/>
      <c r="Q86" s="131"/>
      <c r="R86" s="131"/>
      <c r="S86" s="131"/>
      <c r="T86" s="131"/>
      <c r="U86" s="131"/>
      <c r="V86" s="131"/>
      <c r="W86" s="131"/>
      <c r="X86" s="131"/>
      <c r="Y86" s="131"/>
      <c r="Z86" s="131"/>
      <c r="AA86" s="131"/>
      <c r="AB86" s="131"/>
      <c r="AC86" s="131"/>
      <c r="AD86" s="131"/>
      <c r="AE86" s="131"/>
      <c r="AF86" s="131"/>
      <c r="AG86" s="131"/>
      <c r="AH86" s="131"/>
      <c r="AI86" s="131"/>
      <c r="AJ86" s="131"/>
      <c r="AK86" s="131"/>
      <c r="AL86" s="131"/>
      <c r="AM86" s="131"/>
      <c r="AN86" s="131"/>
      <c r="AO86" s="131"/>
    </row>
    <row r="87" ht="15.75" customHeight="1">
      <c r="A87" s="131"/>
      <c r="B87" s="131"/>
      <c r="C87" s="131"/>
      <c r="D87" s="131"/>
      <c r="E87" s="131"/>
      <c r="F87" s="131"/>
      <c r="G87" s="131"/>
      <c r="H87" s="131"/>
      <c r="I87" s="131"/>
      <c r="J87" s="131"/>
      <c r="K87" s="131"/>
      <c r="L87" s="131"/>
      <c r="M87" s="131"/>
      <c r="N87" s="131"/>
      <c r="O87" s="131"/>
      <c r="P87" s="131"/>
      <c r="Q87" s="131"/>
      <c r="R87" s="131"/>
      <c r="S87" s="131"/>
      <c r="T87" s="131"/>
      <c r="U87" s="131"/>
      <c r="V87" s="131"/>
      <c r="W87" s="131"/>
      <c r="X87" s="131"/>
      <c r="Y87" s="131"/>
      <c r="Z87" s="131"/>
      <c r="AA87" s="131"/>
      <c r="AB87" s="131"/>
      <c r="AC87" s="131"/>
      <c r="AD87" s="131"/>
      <c r="AE87" s="131"/>
      <c r="AF87" s="131"/>
      <c r="AG87" s="131"/>
      <c r="AH87" s="131"/>
      <c r="AI87" s="131"/>
      <c r="AJ87" s="131"/>
      <c r="AK87" s="131"/>
      <c r="AL87" s="131"/>
      <c r="AM87" s="131"/>
      <c r="AN87" s="131"/>
      <c r="AO87" s="131"/>
    </row>
    <row r="88" ht="15.75" customHeight="1">
      <c r="A88" s="131"/>
      <c r="B88" s="131"/>
      <c r="C88" s="131"/>
      <c r="D88" s="131"/>
      <c r="E88" s="131"/>
      <c r="F88" s="131"/>
      <c r="G88" s="131"/>
      <c r="H88" s="131"/>
      <c r="I88" s="131"/>
      <c r="J88" s="131"/>
      <c r="K88" s="131"/>
      <c r="L88" s="131"/>
      <c r="M88" s="131"/>
      <c r="N88" s="131"/>
      <c r="O88" s="131"/>
      <c r="P88" s="131"/>
      <c r="Q88" s="131"/>
      <c r="R88" s="131"/>
      <c r="S88" s="131"/>
      <c r="T88" s="131"/>
      <c r="U88" s="131"/>
      <c r="V88" s="131"/>
      <c r="W88" s="131"/>
      <c r="X88" s="131"/>
      <c r="Y88" s="131"/>
      <c r="Z88" s="131"/>
      <c r="AA88" s="131"/>
      <c r="AB88" s="131"/>
      <c r="AC88" s="131"/>
      <c r="AD88" s="131"/>
      <c r="AE88" s="131"/>
      <c r="AF88" s="131"/>
      <c r="AG88" s="131"/>
      <c r="AH88" s="131"/>
      <c r="AI88" s="131"/>
      <c r="AJ88" s="131"/>
      <c r="AK88" s="131"/>
      <c r="AL88" s="131"/>
      <c r="AM88" s="131"/>
      <c r="AN88" s="131"/>
      <c r="AO88" s="131"/>
    </row>
    <row r="89" ht="15.75" customHeight="1">
      <c r="A89" s="131"/>
      <c r="B89" s="131"/>
      <c r="C89" s="131"/>
      <c r="D89" s="131"/>
      <c r="E89" s="131"/>
      <c r="F89" s="131"/>
      <c r="G89" s="131"/>
      <c r="H89" s="131"/>
      <c r="I89" s="131"/>
      <c r="J89" s="131"/>
      <c r="K89" s="131"/>
      <c r="L89" s="131"/>
      <c r="M89" s="131"/>
      <c r="N89" s="131"/>
      <c r="O89" s="131"/>
      <c r="P89" s="131"/>
      <c r="Q89" s="131"/>
      <c r="R89" s="131"/>
      <c r="S89" s="131"/>
      <c r="T89" s="131"/>
      <c r="U89" s="131"/>
      <c r="V89" s="131"/>
      <c r="W89" s="131"/>
      <c r="X89" s="131"/>
      <c r="Y89" s="131"/>
      <c r="Z89" s="131"/>
      <c r="AA89" s="131"/>
      <c r="AB89" s="131"/>
      <c r="AC89" s="131"/>
      <c r="AD89" s="131"/>
      <c r="AE89" s="131"/>
      <c r="AF89" s="131"/>
      <c r="AG89" s="131"/>
      <c r="AH89" s="131"/>
      <c r="AI89" s="131"/>
      <c r="AJ89" s="131"/>
      <c r="AK89" s="131"/>
      <c r="AL89" s="131"/>
      <c r="AM89" s="131"/>
      <c r="AN89" s="131"/>
      <c r="AO89" s="131"/>
    </row>
    <row r="90" ht="15.75" customHeight="1">
      <c r="A90" s="131"/>
      <c r="B90" s="131"/>
      <c r="C90" s="131"/>
      <c r="D90" s="131"/>
      <c r="E90" s="131"/>
      <c r="F90" s="131"/>
      <c r="G90" s="131"/>
      <c r="H90" s="131"/>
      <c r="I90" s="131"/>
      <c r="J90" s="131"/>
      <c r="K90" s="131"/>
      <c r="L90" s="131"/>
      <c r="M90" s="131"/>
      <c r="N90" s="131"/>
      <c r="O90" s="131"/>
      <c r="P90" s="131"/>
      <c r="Q90" s="131"/>
      <c r="R90" s="131"/>
      <c r="S90" s="131"/>
      <c r="T90" s="131"/>
      <c r="U90" s="131"/>
      <c r="V90" s="131"/>
      <c r="W90" s="131"/>
      <c r="X90" s="131"/>
      <c r="Y90" s="131"/>
      <c r="Z90" s="131"/>
      <c r="AA90" s="131"/>
      <c r="AB90" s="131"/>
      <c r="AC90" s="131"/>
      <c r="AD90" s="131"/>
      <c r="AE90" s="131"/>
      <c r="AF90" s="131"/>
      <c r="AG90" s="131"/>
      <c r="AH90" s="131"/>
      <c r="AI90" s="131"/>
      <c r="AJ90" s="131"/>
      <c r="AK90" s="131"/>
      <c r="AL90" s="131"/>
      <c r="AM90" s="131"/>
      <c r="AN90" s="131"/>
      <c r="AO90" s="131"/>
    </row>
    <row r="91" ht="15.75" customHeight="1">
      <c r="A91" s="131"/>
      <c r="B91" s="131"/>
      <c r="C91" s="131"/>
      <c r="D91" s="131"/>
      <c r="E91" s="131"/>
      <c r="F91" s="131"/>
      <c r="G91" s="131"/>
      <c r="H91" s="131"/>
      <c r="I91" s="131"/>
      <c r="J91" s="131"/>
      <c r="K91" s="131"/>
      <c r="L91" s="131"/>
      <c r="M91" s="131"/>
      <c r="N91" s="131"/>
      <c r="O91" s="131"/>
      <c r="P91" s="131"/>
      <c r="Q91" s="131"/>
      <c r="R91" s="131"/>
      <c r="S91" s="131"/>
      <c r="T91" s="131"/>
      <c r="U91" s="131"/>
      <c r="V91" s="131"/>
      <c r="W91" s="131"/>
      <c r="X91" s="131"/>
      <c r="Y91" s="131"/>
      <c r="Z91" s="131"/>
      <c r="AA91" s="131"/>
      <c r="AB91" s="131"/>
      <c r="AC91" s="131"/>
      <c r="AD91" s="131"/>
      <c r="AE91" s="131"/>
      <c r="AF91" s="131"/>
      <c r="AG91" s="131"/>
      <c r="AH91" s="131"/>
      <c r="AI91" s="131"/>
      <c r="AJ91" s="131"/>
      <c r="AK91" s="131"/>
      <c r="AL91" s="131"/>
      <c r="AM91" s="131"/>
      <c r="AN91" s="131"/>
      <c r="AO91" s="131"/>
    </row>
    <row r="92" ht="15.75" customHeight="1">
      <c r="A92" s="131"/>
      <c r="B92" s="131"/>
      <c r="C92" s="131"/>
      <c r="D92" s="131"/>
      <c r="E92" s="131"/>
      <c r="F92" s="131"/>
      <c r="G92" s="131"/>
      <c r="H92" s="131"/>
      <c r="I92" s="131"/>
      <c r="J92" s="131"/>
      <c r="K92" s="131"/>
      <c r="L92" s="131"/>
      <c r="M92" s="131"/>
      <c r="N92" s="131"/>
      <c r="O92" s="131"/>
      <c r="P92" s="131"/>
      <c r="Q92" s="131"/>
      <c r="R92" s="131"/>
      <c r="S92" s="131"/>
      <c r="T92" s="131"/>
      <c r="U92" s="131"/>
      <c r="V92" s="131"/>
      <c r="W92" s="131"/>
      <c r="X92" s="131"/>
      <c r="Y92" s="131"/>
      <c r="Z92" s="131"/>
      <c r="AA92" s="131"/>
      <c r="AB92" s="131"/>
      <c r="AC92" s="131"/>
      <c r="AD92" s="131"/>
      <c r="AE92" s="131"/>
      <c r="AF92" s="131"/>
      <c r="AG92" s="131"/>
      <c r="AH92" s="131"/>
      <c r="AI92" s="131"/>
      <c r="AJ92" s="131"/>
      <c r="AK92" s="131"/>
      <c r="AL92" s="131"/>
      <c r="AM92" s="131"/>
      <c r="AN92" s="131"/>
      <c r="AO92" s="131"/>
    </row>
    <row r="93" ht="15.75" customHeight="1">
      <c r="A93" s="131"/>
      <c r="B93" s="131"/>
      <c r="C93" s="131"/>
      <c r="D93" s="131"/>
      <c r="E93" s="131"/>
      <c r="F93" s="131"/>
      <c r="G93" s="131"/>
      <c r="H93" s="131"/>
      <c r="I93" s="131"/>
      <c r="J93" s="131"/>
      <c r="K93" s="131"/>
      <c r="L93" s="131"/>
      <c r="M93" s="131"/>
      <c r="N93" s="131"/>
      <c r="O93" s="131"/>
      <c r="P93" s="131"/>
      <c r="Q93" s="131"/>
      <c r="R93" s="131"/>
      <c r="S93" s="131"/>
      <c r="T93" s="131"/>
      <c r="U93" s="131"/>
      <c r="V93" s="131"/>
      <c r="W93" s="131"/>
      <c r="X93" s="131"/>
      <c r="Y93" s="131"/>
      <c r="Z93" s="131"/>
      <c r="AA93" s="131"/>
      <c r="AB93" s="131"/>
      <c r="AC93" s="131"/>
      <c r="AD93" s="131"/>
      <c r="AE93" s="131"/>
      <c r="AF93" s="131"/>
      <c r="AG93" s="131"/>
      <c r="AH93" s="131"/>
      <c r="AI93" s="131"/>
      <c r="AJ93" s="131"/>
      <c r="AK93" s="131"/>
      <c r="AL93" s="131"/>
      <c r="AM93" s="131"/>
      <c r="AN93" s="131"/>
      <c r="AO93" s="131"/>
    </row>
    <row r="94" ht="15.75" customHeight="1">
      <c r="A94" s="131"/>
      <c r="B94" s="131"/>
      <c r="C94" s="131"/>
      <c r="D94" s="131"/>
      <c r="E94" s="131"/>
      <c r="F94" s="131"/>
      <c r="G94" s="131"/>
      <c r="H94" s="131"/>
      <c r="I94" s="131"/>
      <c r="J94" s="131"/>
      <c r="K94" s="131"/>
      <c r="L94" s="131"/>
      <c r="M94" s="131"/>
      <c r="N94" s="131"/>
      <c r="O94" s="131"/>
      <c r="P94" s="131"/>
      <c r="Q94" s="131"/>
      <c r="R94" s="131"/>
      <c r="S94" s="131"/>
      <c r="T94" s="131"/>
      <c r="U94" s="131"/>
      <c r="V94" s="131"/>
      <c r="W94" s="131"/>
      <c r="X94" s="131"/>
      <c r="Y94" s="131"/>
      <c r="Z94" s="131"/>
      <c r="AA94" s="131"/>
      <c r="AB94" s="131"/>
      <c r="AC94" s="131"/>
      <c r="AD94" s="131"/>
      <c r="AE94" s="131"/>
      <c r="AF94" s="131"/>
      <c r="AG94" s="131"/>
      <c r="AH94" s="131"/>
      <c r="AI94" s="131"/>
      <c r="AJ94" s="131"/>
      <c r="AK94" s="131"/>
      <c r="AL94" s="131"/>
      <c r="AM94" s="131"/>
      <c r="AN94" s="131"/>
      <c r="AO94" s="131"/>
    </row>
    <row r="95" ht="15.75" customHeight="1">
      <c r="A95" s="131"/>
      <c r="B95" s="131"/>
      <c r="C95" s="131"/>
      <c r="D95" s="131"/>
      <c r="E95" s="131"/>
      <c r="F95" s="131"/>
      <c r="G95" s="131"/>
      <c r="H95" s="131"/>
      <c r="I95" s="131"/>
      <c r="J95" s="131"/>
      <c r="K95" s="131"/>
      <c r="L95" s="131"/>
      <c r="M95" s="131"/>
      <c r="N95" s="131"/>
      <c r="O95" s="131"/>
      <c r="P95" s="131"/>
      <c r="Q95" s="131"/>
      <c r="R95" s="131"/>
      <c r="S95" s="131"/>
      <c r="T95" s="131"/>
      <c r="U95" s="131"/>
      <c r="V95" s="131"/>
      <c r="W95" s="131"/>
      <c r="X95" s="131"/>
      <c r="Y95" s="131"/>
      <c r="Z95" s="131"/>
      <c r="AA95" s="131"/>
      <c r="AB95" s="131"/>
      <c r="AC95" s="131"/>
      <c r="AD95" s="131"/>
      <c r="AE95" s="131"/>
      <c r="AF95" s="131"/>
      <c r="AG95" s="131"/>
      <c r="AH95" s="131"/>
      <c r="AI95" s="131"/>
      <c r="AJ95" s="131"/>
      <c r="AK95" s="131"/>
      <c r="AL95" s="131"/>
      <c r="AM95" s="131"/>
      <c r="AN95" s="131"/>
      <c r="AO95" s="131"/>
    </row>
    <row r="96" ht="15.75" customHeight="1">
      <c r="A96" s="131"/>
      <c r="B96" s="131"/>
      <c r="C96" s="131"/>
      <c r="D96" s="131"/>
      <c r="E96" s="131"/>
      <c r="F96" s="131"/>
      <c r="G96" s="131"/>
      <c r="H96" s="131"/>
      <c r="I96" s="131"/>
      <c r="J96" s="131"/>
      <c r="K96" s="131"/>
      <c r="L96" s="131"/>
      <c r="M96" s="131"/>
      <c r="N96" s="131"/>
      <c r="O96" s="131"/>
      <c r="P96" s="131"/>
      <c r="Q96" s="131"/>
      <c r="R96" s="131"/>
      <c r="S96" s="131"/>
      <c r="T96" s="131"/>
      <c r="U96" s="131"/>
      <c r="V96" s="131"/>
      <c r="W96" s="131"/>
      <c r="X96" s="131"/>
      <c r="Y96" s="131"/>
      <c r="Z96" s="131"/>
      <c r="AA96" s="131"/>
      <c r="AB96" s="131"/>
      <c r="AC96" s="131"/>
      <c r="AD96" s="131"/>
      <c r="AE96" s="131"/>
      <c r="AF96" s="131"/>
      <c r="AG96" s="131"/>
      <c r="AH96" s="131"/>
      <c r="AI96" s="131"/>
      <c r="AJ96" s="131"/>
      <c r="AK96" s="131"/>
      <c r="AL96" s="131"/>
      <c r="AM96" s="131"/>
      <c r="AN96" s="131"/>
      <c r="AO96" s="131"/>
    </row>
    <row r="97" ht="15.75" customHeight="1">
      <c r="A97" s="131"/>
      <c r="B97" s="131"/>
      <c r="C97" s="131"/>
      <c r="D97" s="131"/>
      <c r="E97" s="131"/>
      <c r="F97" s="131"/>
      <c r="G97" s="131"/>
      <c r="H97" s="131"/>
      <c r="I97" s="131"/>
      <c r="J97" s="131"/>
      <c r="K97" s="131"/>
      <c r="L97" s="131"/>
      <c r="M97" s="131"/>
      <c r="N97" s="131"/>
      <c r="O97" s="131"/>
      <c r="P97" s="131"/>
      <c r="Q97" s="131"/>
      <c r="R97" s="131"/>
      <c r="S97" s="131"/>
      <c r="T97" s="131"/>
      <c r="U97" s="131"/>
      <c r="V97" s="131"/>
      <c r="W97" s="131"/>
      <c r="X97" s="131"/>
      <c r="Y97" s="131"/>
      <c r="Z97" s="131"/>
      <c r="AA97" s="131"/>
      <c r="AB97" s="131"/>
      <c r="AC97" s="131"/>
      <c r="AD97" s="131"/>
      <c r="AE97" s="131"/>
      <c r="AF97" s="131"/>
      <c r="AG97" s="131"/>
      <c r="AH97" s="131"/>
      <c r="AI97" s="131"/>
      <c r="AJ97" s="131"/>
      <c r="AK97" s="131"/>
      <c r="AL97" s="131"/>
      <c r="AM97" s="131"/>
      <c r="AN97" s="131"/>
      <c r="AO97" s="131"/>
    </row>
    <row r="98" ht="15.75" customHeight="1">
      <c r="A98" s="131"/>
      <c r="B98" s="131"/>
      <c r="C98" s="131"/>
      <c r="D98" s="131"/>
      <c r="E98" s="131"/>
      <c r="F98" s="131"/>
      <c r="G98" s="131"/>
      <c r="H98" s="131"/>
      <c r="I98" s="131"/>
      <c r="J98" s="131"/>
      <c r="K98" s="131"/>
      <c r="L98" s="131"/>
      <c r="M98" s="131"/>
      <c r="N98" s="131"/>
      <c r="O98" s="131"/>
      <c r="P98" s="131"/>
      <c r="Q98" s="131"/>
      <c r="R98" s="131"/>
      <c r="S98" s="131"/>
      <c r="T98" s="131"/>
      <c r="U98" s="131"/>
      <c r="V98" s="131"/>
      <c r="W98" s="131"/>
      <c r="X98" s="131"/>
      <c r="Y98" s="131"/>
      <c r="Z98" s="131"/>
      <c r="AA98" s="131"/>
      <c r="AB98" s="131"/>
      <c r="AC98" s="131"/>
      <c r="AD98" s="131"/>
      <c r="AE98" s="131"/>
      <c r="AF98" s="131"/>
      <c r="AG98" s="131"/>
      <c r="AH98" s="131"/>
      <c r="AI98" s="131"/>
      <c r="AJ98" s="131"/>
      <c r="AK98" s="131"/>
      <c r="AL98" s="131"/>
      <c r="AM98" s="131"/>
      <c r="AN98" s="131"/>
      <c r="AO98" s="131"/>
    </row>
    <row r="99" ht="15.75" customHeight="1">
      <c r="A99" s="131"/>
      <c r="B99" s="131"/>
      <c r="C99" s="131"/>
      <c r="D99" s="131"/>
      <c r="E99" s="131"/>
      <c r="F99" s="131"/>
      <c r="G99" s="131"/>
      <c r="H99" s="131"/>
      <c r="I99" s="131"/>
      <c r="J99" s="131"/>
      <c r="K99" s="131"/>
      <c r="L99" s="131"/>
      <c r="M99" s="131"/>
      <c r="N99" s="131"/>
      <c r="O99" s="131"/>
      <c r="P99" s="131"/>
      <c r="Q99" s="131"/>
      <c r="R99" s="131"/>
      <c r="S99" s="131"/>
      <c r="T99" s="131"/>
      <c r="U99" s="131"/>
      <c r="V99" s="131"/>
      <c r="W99" s="131"/>
      <c r="X99" s="131"/>
      <c r="Y99" s="131"/>
      <c r="Z99" s="131"/>
      <c r="AA99" s="131"/>
      <c r="AB99" s="131"/>
      <c r="AC99" s="131"/>
      <c r="AD99" s="131"/>
      <c r="AE99" s="131"/>
      <c r="AF99" s="131"/>
      <c r="AG99" s="131"/>
      <c r="AH99" s="131"/>
      <c r="AI99" s="131"/>
      <c r="AJ99" s="131"/>
      <c r="AK99" s="131"/>
      <c r="AL99" s="131"/>
      <c r="AM99" s="131"/>
      <c r="AN99" s="131"/>
      <c r="AO99" s="131"/>
    </row>
    <row r="100" ht="15.75" customHeight="1">
      <c r="A100" s="131"/>
      <c r="B100" s="131"/>
      <c r="C100" s="131"/>
      <c r="D100" s="131"/>
      <c r="E100" s="131"/>
      <c r="F100" s="131"/>
      <c r="G100" s="131"/>
      <c r="H100" s="131"/>
      <c r="I100" s="131"/>
      <c r="J100" s="131"/>
      <c r="K100" s="131"/>
      <c r="L100" s="131"/>
      <c r="M100" s="131"/>
      <c r="N100" s="131"/>
      <c r="O100" s="131"/>
      <c r="P100" s="131"/>
      <c r="Q100" s="131"/>
      <c r="R100" s="131"/>
      <c r="S100" s="131"/>
      <c r="T100" s="131"/>
      <c r="U100" s="131"/>
      <c r="V100" s="131"/>
      <c r="W100" s="131"/>
      <c r="X100" s="131"/>
      <c r="Y100" s="131"/>
      <c r="Z100" s="131"/>
      <c r="AA100" s="131"/>
      <c r="AB100" s="131"/>
      <c r="AC100" s="131"/>
      <c r="AD100" s="131"/>
      <c r="AE100" s="131"/>
      <c r="AF100" s="131"/>
      <c r="AG100" s="131"/>
      <c r="AH100" s="131"/>
      <c r="AI100" s="131"/>
      <c r="AJ100" s="131"/>
      <c r="AK100" s="131"/>
      <c r="AL100" s="131"/>
      <c r="AM100" s="131"/>
      <c r="AN100" s="131"/>
      <c r="AO100" s="131"/>
    </row>
    <row r="101" ht="15.75" customHeight="1">
      <c r="A101" s="131"/>
      <c r="B101" s="131"/>
      <c r="C101" s="131"/>
      <c r="D101" s="131"/>
      <c r="E101" s="131"/>
      <c r="F101" s="131"/>
      <c r="G101" s="131"/>
      <c r="H101" s="131"/>
      <c r="I101" s="131"/>
      <c r="J101" s="131"/>
      <c r="K101" s="131"/>
      <c r="L101" s="131"/>
      <c r="M101" s="131"/>
      <c r="N101" s="131"/>
      <c r="O101" s="131"/>
      <c r="P101" s="131"/>
      <c r="Q101" s="131"/>
      <c r="R101" s="131"/>
      <c r="S101" s="131"/>
      <c r="T101" s="131"/>
      <c r="U101" s="131"/>
      <c r="V101" s="131"/>
      <c r="W101" s="131"/>
      <c r="X101" s="131"/>
      <c r="Y101" s="131"/>
      <c r="Z101" s="131"/>
      <c r="AA101" s="131"/>
      <c r="AB101" s="131"/>
      <c r="AC101" s="131"/>
      <c r="AD101" s="131"/>
      <c r="AE101" s="131"/>
      <c r="AF101" s="131"/>
      <c r="AG101" s="131"/>
      <c r="AH101" s="131"/>
      <c r="AI101" s="131"/>
      <c r="AJ101" s="131"/>
      <c r="AK101" s="131"/>
      <c r="AL101" s="131"/>
      <c r="AM101" s="131"/>
      <c r="AN101" s="131"/>
      <c r="AO101" s="131"/>
    </row>
    <row r="102" ht="15.75" customHeight="1">
      <c r="A102" s="131"/>
      <c r="B102" s="131"/>
      <c r="C102" s="131"/>
      <c r="D102" s="131"/>
      <c r="E102" s="131"/>
      <c r="F102" s="131"/>
      <c r="G102" s="131"/>
      <c r="H102" s="131"/>
      <c r="I102" s="131"/>
      <c r="J102" s="131"/>
      <c r="K102" s="131"/>
      <c r="L102" s="131"/>
      <c r="M102" s="131"/>
      <c r="N102" s="131"/>
      <c r="O102" s="131"/>
      <c r="P102" s="131"/>
      <c r="Q102" s="131"/>
      <c r="R102" s="131"/>
      <c r="S102" s="131"/>
      <c r="T102" s="131"/>
      <c r="U102" s="131"/>
      <c r="V102" s="131"/>
      <c r="W102" s="131"/>
      <c r="X102" s="131"/>
      <c r="Y102" s="131"/>
      <c r="Z102" s="131"/>
      <c r="AA102" s="131"/>
      <c r="AB102" s="131"/>
      <c r="AC102" s="131"/>
      <c r="AD102" s="131"/>
      <c r="AE102" s="131"/>
      <c r="AF102" s="131"/>
      <c r="AG102" s="131"/>
      <c r="AH102" s="131"/>
      <c r="AI102" s="131"/>
      <c r="AJ102" s="131"/>
      <c r="AK102" s="131"/>
      <c r="AL102" s="131"/>
      <c r="AM102" s="131"/>
      <c r="AN102" s="131"/>
      <c r="AO102" s="131"/>
    </row>
    <row r="103" ht="15.75" customHeight="1">
      <c r="A103" s="131"/>
      <c r="B103" s="131"/>
      <c r="C103" s="131"/>
      <c r="D103" s="131"/>
      <c r="E103" s="131"/>
      <c r="F103" s="131"/>
      <c r="G103" s="131"/>
      <c r="H103" s="131"/>
      <c r="I103" s="131"/>
      <c r="J103" s="131"/>
      <c r="K103" s="131"/>
      <c r="L103" s="131"/>
      <c r="M103" s="131"/>
      <c r="N103" s="131"/>
      <c r="O103" s="131"/>
      <c r="P103" s="131"/>
      <c r="Q103" s="131"/>
      <c r="R103" s="131"/>
      <c r="S103" s="131"/>
      <c r="T103" s="131"/>
      <c r="U103" s="131"/>
      <c r="V103" s="131"/>
      <c r="W103" s="131"/>
      <c r="X103" s="131"/>
      <c r="Y103" s="131"/>
      <c r="Z103" s="131"/>
      <c r="AA103" s="131"/>
      <c r="AB103" s="131"/>
      <c r="AC103" s="131"/>
      <c r="AD103" s="131"/>
      <c r="AE103" s="131"/>
      <c r="AF103" s="131"/>
      <c r="AG103" s="131"/>
      <c r="AH103" s="131"/>
      <c r="AI103" s="131"/>
      <c r="AJ103" s="131"/>
      <c r="AK103" s="131"/>
      <c r="AL103" s="131"/>
      <c r="AM103" s="131"/>
      <c r="AN103" s="131"/>
      <c r="AO103" s="131"/>
    </row>
    <row r="104" ht="15.75" customHeight="1">
      <c r="A104" s="131"/>
      <c r="B104" s="131"/>
      <c r="C104" s="131"/>
      <c r="D104" s="131"/>
      <c r="E104" s="131"/>
      <c r="F104" s="131"/>
      <c r="G104" s="131"/>
      <c r="H104" s="131"/>
      <c r="I104" s="131"/>
      <c r="J104" s="131"/>
      <c r="K104" s="131"/>
      <c r="L104" s="131"/>
      <c r="M104" s="131"/>
      <c r="N104" s="131"/>
      <c r="O104" s="131"/>
      <c r="P104" s="131"/>
      <c r="Q104" s="131"/>
      <c r="R104" s="131"/>
      <c r="S104" s="131"/>
      <c r="T104" s="131"/>
      <c r="U104" s="131"/>
      <c r="V104" s="131"/>
      <c r="W104" s="131"/>
      <c r="X104" s="131"/>
      <c r="Y104" s="131"/>
      <c r="Z104" s="131"/>
      <c r="AA104" s="131"/>
      <c r="AB104" s="131"/>
      <c r="AC104" s="131"/>
      <c r="AD104" s="131"/>
      <c r="AE104" s="131"/>
      <c r="AF104" s="131"/>
      <c r="AG104" s="131"/>
      <c r="AH104" s="131"/>
      <c r="AI104" s="131"/>
      <c r="AJ104" s="131"/>
      <c r="AK104" s="131"/>
      <c r="AL104" s="131"/>
      <c r="AM104" s="131"/>
      <c r="AN104" s="131"/>
      <c r="AO104" s="131"/>
    </row>
    <row r="105" ht="15.75" customHeight="1">
      <c r="A105" s="131"/>
      <c r="B105" s="131"/>
      <c r="C105" s="131"/>
      <c r="D105" s="131"/>
      <c r="E105" s="131"/>
      <c r="F105" s="131"/>
      <c r="G105" s="131"/>
      <c r="H105" s="131"/>
      <c r="I105" s="131"/>
      <c r="J105" s="131"/>
      <c r="K105" s="131"/>
      <c r="L105" s="131"/>
      <c r="M105" s="131"/>
      <c r="N105" s="131"/>
      <c r="O105" s="131"/>
      <c r="P105" s="131"/>
      <c r="Q105" s="131"/>
      <c r="R105" s="131"/>
      <c r="S105" s="131"/>
      <c r="T105" s="131"/>
      <c r="U105" s="131"/>
      <c r="V105" s="131"/>
      <c r="W105" s="131"/>
      <c r="X105" s="131"/>
      <c r="Y105" s="131"/>
      <c r="Z105" s="131"/>
      <c r="AA105" s="131"/>
      <c r="AB105" s="131"/>
      <c r="AC105" s="131"/>
      <c r="AD105" s="131"/>
      <c r="AE105" s="131"/>
      <c r="AF105" s="131"/>
      <c r="AG105" s="131"/>
      <c r="AH105" s="131"/>
      <c r="AI105" s="131"/>
      <c r="AJ105" s="131"/>
      <c r="AK105" s="131"/>
      <c r="AL105" s="131"/>
      <c r="AM105" s="131"/>
      <c r="AN105" s="131"/>
      <c r="AO105" s="131"/>
    </row>
    <row r="106" ht="15.75" customHeight="1">
      <c r="A106" s="131"/>
      <c r="B106" s="131"/>
      <c r="C106" s="131"/>
      <c r="D106" s="131"/>
      <c r="E106" s="131"/>
      <c r="F106" s="131"/>
      <c r="G106" s="131"/>
      <c r="H106" s="131"/>
      <c r="I106" s="131"/>
      <c r="J106" s="131"/>
      <c r="K106" s="131"/>
      <c r="L106" s="131"/>
      <c r="M106" s="131"/>
      <c r="N106" s="131"/>
      <c r="O106" s="131"/>
      <c r="P106" s="131"/>
      <c r="Q106" s="131"/>
      <c r="R106" s="131"/>
      <c r="S106" s="131"/>
      <c r="T106" s="131"/>
      <c r="U106" s="131"/>
      <c r="V106" s="131"/>
      <c r="W106" s="131"/>
      <c r="X106" s="131"/>
      <c r="Y106" s="131"/>
      <c r="Z106" s="131"/>
      <c r="AA106" s="131"/>
      <c r="AB106" s="131"/>
      <c r="AC106" s="131"/>
      <c r="AD106" s="131"/>
      <c r="AE106" s="131"/>
      <c r="AF106" s="131"/>
      <c r="AG106" s="131"/>
      <c r="AH106" s="131"/>
      <c r="AI106" s="131"/>
      <c r="AJ106" s="131"/>
      <c r="AK106" s="131"/>
      <c r="AL106" s="131"/>
      <c r="AM106" s="131"/>
      <c r="AN106" s="131"/>
      <c r="AO106" s="131"/>
    </row>
    <row r="107" ht="15.75" customHeight="1">
      <c r="A107" s="131"/>
      <c r="B107" s="131"/>
      <c r="C107" s="131"/>
      <c r="D107" s="131"/>
      <c r="E107" s="131"/>
      <c r="F107" s="131"/>
      <c r="G107" s="131"/>
      <c r="H107" s="131"/>
      <c r="I107" s="131"/>
      <c r="J107" s="131"/>
      <c r="K107" s="131"/>
      <c r="L107" s="131"/>
      <c r="M107" s="131"/>
      <c r="N107" s="131"/>
      <c r="O107" s="131"/>
      <c r="P107" s="131"/>
      <c r="Q107" s="131"/>
      <c r="R107" s="131"/>
      <c r="S107" s="131"/>
      <c r="T107" s="131"/>
      <c r="U107" s="131"/>
      <c r="V107" s="131"/>
      <c r="W107" s="131"/>
      <c r="X107" s="131"/>
      <c r="Y107" s="131"/>
      <c r="Z107" s="131"/>
      <c r="AA107" s="131"/>
      <c r="AB107" s="131"/>
      <c r="AC107" s="131"/>
      <c r="AD107" s="131"/>
      <c r="AE107" s="131"/>
      <c r="AF107" s="131"/>
      <c r="AG107" s="131"/>
      <c r="AH107" s="131"/>
      <c r="AI107" s="131"/>
      <c r="AJ107" s="131"/>
      <c r="AK107" s="131"/>
      <c r="AL107" s="131"/>
      <c r="AM107" s="131"/>
      <c r="AN107" s="131"/>
      <c r="AO107" s="131"/>
    </row>
    <row r="108" ht="15.75" customHeight="1">
      <c r="A108" s="131"/>
      <c r="B108" s="131"/>
      <c r="C108" s="131"/>
      <c r="D108" s="131"/>
      <c r="E108" s="131"/>
      <c r="F108" s="131"/>
      <c r="G108" s="131"/>
      <c r="H108" s="131"/>
      <c r="I108" s="131"/>
      <c r="J108" s="131"/>
      <c r="K108" s="131"/>
      <c r="L108" s="131"/>
      <c r="M108" s="131"/>
      <c r="N108" s="131"/>
      <c r="O108" s="131"/>
      <c r="P108" s="131"/>
      <c r="Q108" s="131"/>
      <c r="R108" s="131"/>
      <c r="S108" s="131"/>
      <c r="T108" s="131"/>
      <c r="U108" s="131"/>
      <c r="V108" s="131"/>
      <c r="W108" s="131"/>
      <c r="X108" s="131"/>
      <c r="Y108" s="131"/>
      <c r="Z108" s="131"/>
      <c r="AA108" s="131"/>
      <c r="AB108" s="131"/>
      <c r="AC108" s="131"/>
      <c r="AD108" s="131"/>
      <c r="AE108" s="131"/>
      <c r="AF108" s="131"/>
      <c r="AG108" s="131"/>
      <c r="AH108" s="131"/>
      <c r="AI108" s="131"/>
      <c r="AJ108" s="131"/>
      <c r="AK108" s="131"/>
      <c r="AL108" s="131"/>
      <c r="AM108" s="131"/>
      <c r="AN108" s="131"/>
      <c r="AO108" s="131"/>
    </row>
    <row r="109" ht="15.75" customHeight="1">
      <c r="A109" s="131"/>
      <c r="B109" s="131"/>
      <c r="C109" s="131"/>
      <c r="D109" s="131"/>
      <c r="E109" s="131"/>
      <c r="F109" s="131"/>
      <c r="G109" s="131"/>
      <c r="H109" s="131"/>
      <c r="I109" s="131"/>
      <c r="J109" s="131"/>
      <c r="K109" s="131"/>
      <c r="L109" s="131"/>
      <c r="M109" s="131"/>
      <c r="N109" s="131"/>
      <c r="O109" s="131"/>
      <c r="P109" s="131"/>
      <c r="Q109" s="131"/>
      <c r="R109" s="131"/>
      <c r="S109" s="131"/>
      <c r="T109" s="131"/>
      <c r="U109" s="131"/>
      <c r="V109" s="131"/>
      <c r="W109" s="131"/>
      <c r="X109" s="131"/>
      <c r="Y109" s="131"/>
      <c r="Z109" s="131"/>
      <c r="AA109" s="131"/>
      <c r="AB109" s="131"/>
      <c r="AC109" s="131"/>
      <c r="AD109" s="131"/>
      <c r="AE109" s="131"/>
      <c r="AF109" s="131"/>
      <c r="AG109" s="131"/>
      <c r="AH109" s="131"/>
      <c r="AI109" s="131"/>
      <c r="AJ109" s="131"/>
      <c r="AK109" s="131"/>
      <c r="AL109" s="131"/>
      <c r="AM109" s="131"/>
      <c r="AN109" s="131"/>
      <c r="AO109" s="131"/>
    </row>
    <row r="110" ht="15.75" customHeight="1">
      <c r="A110" s="131"/>
      <c r="B110" s="131"/>
      <c r="C110" s="131"/>
      <c r="D110" s="131"/>
      <c r="E110" s="131"/>
      <c r="F110" s="131"/>
      <c r="G110" s="131"/>
      <c r="H110" s="131"/>
      <c r="I110" s="131"/>
      <c r="J110" s="131"/>
      <c r="K110" s="131"/>
      <c r="L110" s="131"/>
      <c r="M110" s="131"/>
      <c r="N110" s="131"/>
      <c r="O110" s="131"/>
      <c r="P110" s="131"/>
      <c r="Q110" s="131"/>
      <c r="R110" s="131"/>
      <c r="S110" s="131"/>
      <c r="T110" s="131"/>
      <c r="U110" s="131"/>
      <c r="V110" s="131"/>
      <c r="W110" s="131"/>
      <c r="X110" s="131"/>
      <c r="Y110" s="131"/>
      <c r="Z110" s="131"/>
      <c r="AA110" s="131"/>
      <c r="AB110" s="131"/>
      <c r="AC110" s="131"/>
      <c r="AD110" s="131"/>
      <c r="AE110" s="131"/>
      <c r="AF110" s="131"/>
      <c r="AG110" s="131"/>
      <c r="AH110" s="131"/>
      <c r="AI110" s="131"/>
      <c r="AJ110" s="131"/>
      <c r="AK110" s="131"/>
      <c r="AL110" s="131"/>
      <c r="AM110" s="131"/>
      <c r="AN110" s="131"/>
      <c r="AO110" s="131"/>
    </row>
    <row r="111" ht="15.75" customHeight="1">
      <c r="A111" s="131"/>
      <c r="B111" s="131"/>
      <c r="C111" s="131"/>
      <c r="D111" s="131"/>
      <c r="E111" s="131"/>
      <c r="F111" s="131"/>
      <c r="G111" s="131"/>
      <c r="H111" s="131"/>
      <c r="I111" s="131"/>
      <c r="J111" s="131"/>
      <c r="K111" s="131"/>
      <c r="L111" s="131"/>
      <c r="M111" s="131"/>
      <c r="N111" s="131"/>
      <c r="O111" s="131"/>
      <c r="P111" s="131"/>
      <c r="Q111" s="131"/>
      <c r="R111" s="131"/>
      <c r="S111" s="131"/>
      <c r="T111" s="131"/>
      <c r="U111" s="131"/>
      <c r="V111" s="131"/>
      <c r="W111" s="131"/>
      <c r="X111" s="131"/>
      <c r="Y111" s="131"/>
      <c r="Z111" s="131"/>
      <c r="AA111" s="131"/>
      <c r="AB111" s="131"/>
      <c r="AC111" s="131"/>
      <c r="AD111" s="131"/>
      <c r="AE111" s="131"/>
      <c r="AF111" s="131"/>
      <c r="AG111" s="131"/>
      <c r="AH111" s="131"/>
      <c r="AI111" s="131"/>
      <c r="AJ111" s="131"/>
      <c r="AK111" s="131"/>
      <c r="AL111" s="131"/>
      <c r="AM111" s="131"/>
      <c r="AN111" s="131"/>
      <c r="AO111" s="131"/>
    </row>
    <row r="112" ht="15.75" customHeight="1">
      <c r="A112" s="131"/>
      <c r="B112" s="131"/>
      <c r="C112" s="131"/>
      <c r="D112" s="131"/>
      <c r="E112" s="131"/>
      <c r="F112" s="131"/>
      <c r="G112" s="131"/>
      <c r="H112" s="131"/>
      <c r="I112" s="131"/>
      <c r="J112" s="131"/>
      <c r="K112" s="131"/>
      <c r="L112" s="131"/>
      <c r="M112" s="131"/>
      <c r="N112" s="131"/>
      <c r="O112" s="131"/>
      <c r="P112" s="131"/>
      <c r="Q112" s="131"/>
      <c r="R112" s="131"/>
      <c r="S112" s="131"/>
      <c r="T112" s="131"/>
      <c r="U112" s="131"/>
      <c r="V112" s="131"/>
      <c r="W112" s="131"/>
      <c r="X112" s="131"/>
      <c r="Y112" s="131"/>
      <c r="Z112" s="131"/>
      <c r="AA112" s="131"/>
      <c r="AB112" s="131"/>
      <c r="AC112" s="131"/>
      <c r="AD112" s="131"/>
      <c r="AE112" s="131"/>
      <c r="AF112" s="131"/>
      <c r="AG112" s="131"/>
      <c r="AH112" s="131"/>
      <c r="AI112" s="131"/>
      <c r="AJ112" s="131"/>
      <c r="AK112" s="131"/>
      <c r="AL112" s="131"/>
      <c r="AM112" s="131"/>
      <c r="AN112" s="131"/>
      <c r="AO112" s="131"/>
    </row>
    <row r="113" ht="15.75" customHeight="1">
      <c r="A113" s="131"/>
      <c r="B113" s="131"/>
      <c r="C113" s="131"/>
      <c r="D113" s="131"/>
      <c r="E113" s="131"/>
      <c r="F113" s="131"/>
      <c r="G113" s="131"/>
      <c r="H113" s="131"/>
      <c r="I113" s="131"/>
      <c r="J113" s="131"/>
      <c r="K113" s="131"/>
      <c r="L113" s="131"/>
      <c r="M113" s="131"/>
      <c r="N113" s="131"/>
      <c r="O113" s="131"/>
      <c r="P113" s="131"/>
      <c r="Q113" s="131"/>
      <c r="R113" s="131"/>
      <c r="S113" s="131"/>
      <c r="T113" s="131"/>
      <c r="U113" s="131"/>
      <c r="V113" s="131"/>
      <c r="W113" s="131"/>
      <c r="X113" s="131"/>
      <c r="Y113" s="131"/>
      <c r="Z113" s="131"/>
      <c r="AA113" s="131"/>
      <c r="AB113" s="131"/>
      <c r="AC113" s="131"/>
      <c r="AD113" s="131"/>
      <c r="AE113" s="131"/>
      <c r="AF113" s="131"/>
      <c r="AG113" s="131"/>
      <c r="AH113" s="131"/>
      <c r="AI113" s="131"/>
      <c r="AJ113" s="131"/>
      <c r="AK113" s="131"/>
      <c r="AL113" s="131"/>
      <c r="AM113" s="131"/>
      <c r="AN113" s="131"/>
      <c r="AO113" s="131"/>
    </row>
    <row r="114" ht="15.75" customHeight="1">
      <c r="A114" s="131"/>
      <c r="B114" s="131"/>
      <c r="C114" s="131"/>
      <c r="D114" s="131"/>
      <c r="E114" s="131"/>
      <c r="F114" s="131"/>
      <c r="G114" s="131"/>
      <c r="H114" s="131"/>
      <c r="I114" s="131"/>
      <c r="J114" s="131"/>
      <c r="K114" s="131"/>
      <c r="L114" s="131"/>
      <c r="M114" s="131"/>
      <c r="N114" s="131"/>
      <c r="O114" s="131"/>
      <c r="P114" s="131"/>
      <c r="Q114" s="131"/>
      <c r="R114" s="131"/>
      <c r="S114" s="131"/>
      <c r="T114" s="131"/>
      <c r="U114" s="131"/>
      <c r="V114" s="131"/>
      <c r="W114" s="131"/>
      <c r="X114" s="131"/>
      <c r="Y114" s="131"/>
      <c r="Z114" s="131"/>
      <c r="AA114" s="131"/>
      <c r="AB114" s="131"/>
      <c r="AC114" s="131"/>
      <c r="AD114" s="131"/>
      <c r="AE114" s="131"/>
      <c r="AF114" s="131"/>
      <c r="AG114" s="131"/>
      <c r="AH114" s="131"/>
      <c r="AI114" s="131"/>
      <c r="AJ114" s="131"/>
      <c r="AK114" s="131"/>
      <c r="AL114" s="131"/>
      <c r="AM114" s="131"/>
      <c r="AN114" s="131"/>
      <c r="AO114" s="131"/>
    </row>
    <row r="115" ht="15.75" customHeight="1">
      <c r="A115" s="131"/>
      <c r="B115" s="131"/>
      <c r="C115" s="131"/>
      <c r="D115" s="131"/>
      <c r="E115" s="131"/>
      <c r="F115" s="131"/>
      <c r="G115" s="131"/>
      <c r="H115" s="131"/>
      <c r="I115" s="131"/>
      <c r="J115" s="131"/>
      <c r="K115" s="131"/>
      <c r="L115" s="131"/>
      <c r="M115" s="131"/>
      <c r="N115" s="131"/>
      <c r="O115" s="131"/>
      <c r="P115" s="131"/>
      <c r="Q115" s="131"/>
      <c r="R115" s="131"/>
      <c r="S115" s="131"/>
      <c r="T115" s="131"/>
      <c r="U115" s="131"/>
      <c r="V115" s="131"/>
      <c r="W115" s="131"/>
      <c r="X115" s="131"/>
      <c r="Y115" s="131"/>
      <c r="Z115" s="131"/>
      <c r="AA115" s="131"/>
      <c r="AB115" s="131"/>
      <c r="AC115" s="131"/>
      <c r="AD115" s="131"/>
      <c r="AE115" s="131"/>
      <c r="AF115" s="131"/>
      <c r="AG115" s="131"/>
      <c r="AH115" s="131"/>
      <c r="AI115" s="131"/>
      <c r="AJ115" s="131"/>
      <c r="AK115" s="131"/>
      <c r="AL115" s="131"/>
      <c r="AM115" s="131"/>
      <c r="AN115" s="131"/>
      <c r="AO115" s="131"/>
    </row>
    <row r="116" ht="15.75" customHeight="1">
      <c r="A116" s="131"/>
      <c r="B116" s="131"/>
      <c r="C116" s="131"/>
      <c r="D116" s="131"/>
      <c r="E116" s="131"/>
      <c r="F116" s="131"/>
      <c r="G116" s="131"/>
      <c r="H116" s="131"/>
      <c r="I116" s="131"/>
      <c r="J116" s="131"/>
      <c r="K116" s="131"/>
      <c r="L116" s="131"/>
      <c r="M116" s="131"/>
      <c r="N116" s="131"/>
      <c r="O116" s="131"/>
      <c r="P116" s="131"/>
      <c r="Q116" s="131"/>
      <c r="R116" s="131"/>
      <c r="S116" s="131"/>
      <c r="T116" s="131"/>
      <c r="U116" s="131"/>
      <c r="V116" s="131"/>
      <c r="W116" s="131"/>
      <c r="X116" s="131"/>
      <c r="Y116" s="131"/>
      <c r="Z116" s="131"/>
      <c r="AA116" s="131"/>
      <c r="AB116" s="131"/>
      <c r="AC116" s="131"/>
      <c r="AD116" s="131"/>
      <c r="AE116" s="131"/>
      <c r="AF116" s="131"/>
      <c r="AG116" s="131"/>
      <c r="AH116" s="131"/>
      <c r="AI116" s="131"/>
      <c r="AJ116" s="131"/>
      <c r="AK116" s="131"/>
      <c r="AL116" s="131"/>
      <c r="AM116" s="131"/>
      <c r="AN116" s="131"/>
      <c r="AO116" s="131"/>
    </row>
    <row r="117" ht="15.75" customHeight="1">
      <c r="A117" s="131"/>
      <c r="B117" s="131"/>
      <c r="C117" s="131"/>
      <c r="D117" s="131"/>
      <c r="E117" s="131"/>
      <c r="F117" s="131"/>
      <c r="G117" s="131"/>
      <c r="H117" s="131"/>
      <c r="I117" s="131"/>
      <c r="J117" s="131"/>
      <c r="K117" s="131"/>
      <c r="L117" s="131"/>
      <c r="M117" s="131"/>
      <c r="N117" s="131"/>
      <c r="O117" s="131"/>
      <c r="P117" s="131"/>
      <c r="Q117" s="131"/>
      <c r="R117" s="131"/>
      <c r="S117" s="131"/>
      <c r="T117" s="131"/>
      <c r="U117" s="131"/>
      <c r="V117" s="131"/>
      <c r="W117" s="131"/>
      <c r="X117" s="131"/>
      <c r="Y117" s="131"/>
      <c r="Z117" s="131"/>
      <c r="AA117" s="131"/>
      <c r="AB117" s="131"/>
      <c r="AC117" s="131"/>
      <c r="AD117" s="131"/>
      <c r="AE117" s="131"/>
      <c r="AF117" s="131"/>
      <c r="AG117" s="131"/>
      <c r="AH117" s="131"/>
      <c r="AI117" s="131"/>
      <c r="AJ117" s="131"/>
      <c r="AK117" s="131"/>
      <c r="AL117" s="131"/>
      <c r="AM117" s="131"/>
      <c r="AN117" s="131"/>
      <c r="AO117" s="131"/>
    </row>
    <row r="118" ht="15.75" customHeight="1">
      <c r="A118" s="131"/>
      <c r="B118" s="131"/>
      <c r="C118" s="131"/>
      <c r="D118" s="131"/>
      <c r="E118" s="131"/>
      <c r="F118" s="131"/>
      <c r="G118" s="131"/>
      <c r="H118" s="131"/>
      <c r="I118" s="131"/>
      <c r="J118" s="131"/>
      <c r="K118" s="131"/>
      <c r="L118" s="131"/>
      <c r="M118" s="131"/>
      <c r="N118" s="131"/>
      <c r="O118" s="131"/>
      <c r="P118" s="131"/>
      <c r="Q118" s="131"/>
      <c r="R118" s="131"/>
      <c r="S118" s="131"/>
      <c r="T118" s="131"/>
      <c r="U118" s="131"/>
      <c r="V118" s="131"/>
      <c r="W118" s="131"/>
      <c r="X118" s="131"/>
      <c r="Y118" s="131"/>
      <c r="Z118" s="131"/>
      <c r="AA118" s="131"/>
      <c r="AB118" s="131"/>
      <c r="AC118" s="131"/>
      <c r="AD118" s="131"/>
      <c r="AE118" s="131"/>
      <c r="AF118" s="131"/>
      <c r="AG118" s="131"/>
      <c r="AH118" s="131"/>
      <c r="AI118" s="131"/>
      <c r="AJ118" s="131"/>
      <c r="AK118" s="131"/>
      <c r="AL118" s="131"/>
      <c r="AM118" s="131"/>
      <c r="AN118" s="131"/>
      <c r="AO118" s="131"/>
    </row>
    <row r="119" ht="15.75" customHeight="1">
      <c r="A119" s="131"/>
      <c r="B119" s="131"/>
      <c r="C119" s="131"/>
      <c r="D119" s="131"/>
      <c r="E119" s="131"/>
      <c r="F119" s="131"/>
      <c r="G119" s="131"/>
      <c r="H119" s="131"/>
      <c r="I119" s="131"/>
      <c r="J119" s="131"/>
      <c r="K119" s="131"/>
      <c r="L119" s="131"/>
      <c r="M119" s="131"/>
      <c r="N119" s="131"/>
      <c r="O119" s="131"/>
      <c r="P119" s="131"/>
      <c r="Q119" s="131"/>
      <c r="R119" s="131"/>
      <c r="S119" s="131"/>
      <c r="T119" s="131"/>
      <c r="U119" s="131"/>
      <c r="V119" s="131"/>
      <c r="W119" s="131"/>
      <c r="X119" s="131"/>
      <c r="Y119" s="131"/>
      <c r="Z119" s="131"/>
      <c r="AA119" s="131"/>
      <c r="AB119" s="131"/>
      <c r="AC119" s="131"/>
      <c r="AD119" s="131"/>
      <c r="AE119" s="131"/>
      <c r="AF119" s="131"/>
      <c r="AG119" s="131"/>
      <c r="AH119" s="131"/>
      <c r="AI119" s="131"/>
      <c r="AJ119" s="131"/>
      <c r="AK119" s="131"/>
      <c r="AL119" s="131"/>
      <c r="AM119" s="131"/>
      <c r="AN119" s="131"/>
      <c r="AO119" s="131"/>
    </row>
    <row r="120" ht="15.75" customHeight="1">
      <c r="A120" s="131"/>
      <c r="B120" s="131"/>
      <c r="C120" s="131"/>
      <c r="D120" s="131"/>
      <c r="E120" s="131"/>
      <c r="F120" s="131"/>
      <c r="G120" s="131"/>
      <c r="H120" s="131"/>
      <c r="I120" s="131"/>
      <c r="J120" s="131"/>
      <c r="K120" s="131"/>
      <c r="L120" s="131"/>
      <c r="M120" s="131"/>
      <c r="N120" s="131"/>
      <c r="O120" s="131"/>
      <c r="P120" s="131"/>
      <c r="Q120" s="131"/>
      <c r="R120" s="131"/>
      <c r="S120" s="131"/>
      <c r="T120" s="131"/>
      <c r="U120" s="131"/>
      <c r="V120" s="131"/>
      <c r="W120" s="131"/>
      <c r="X120" s="131"/>
      <c r="Y120" s="131"/>
      <c r="Z120" s="131"/>
      <c r="AA120" s="131"/>
      <c r="AB120" s="131"/>
      <c r="AC120" s="131"/>
      <c r="AD120" s="131"/>
      <c r="AE120" s="131"/>
      <c r="AF120" s="131"/>
      <c r="AG120" s="131"/>
      <c r="AH120" s="131"/>
      <c r="AI120" s="131"/>
      <c r="AJ120" s="131"/>
      <c r="AK120" s="131"/>
      <c r="AL120" s="131"/>
      <c r="AM120" s="131"/>
      <c r="AN120" s="131"/>
      <c r="AO120" s="131"/>
    </row>
    <row r="121" ht="15.75" customHeight="1">
      <c r="A121" s="131"/>
      <c r="B121" s="131"/>
      <c r="C121" s="131"/>
      <c r="D121" s="131"/>
      <c r="E121" s="131"/>
      <c r="F121" s="131"/>
      <c r="G121" s="131"/>
      <c r="H121" s="131"/>
      <c r="I121" s="131"/>
      <c r="J121" s="131"/>
      <c r="K121" s="131"/>
      <c r="L121" s="131"/>
      <c r="M121" s="131"/>
      <c r="N121" s="131"/>
      <c r="O121" s="131"/>
      <c r="P121" s="131"/>
      <c r="Q121" s="131"/>
      <c r="R121" s="131"/>
      <c r="S121" s="131"/>
      <c r="T121" s="131"/>
      <c r="U121" s="131"/>
      <c r="V121" s="131"/>
      <c r="W121" s="131"/>
      <c r="X121" s="131"/>
      <c r="Y121" s="131"/>
      <c r="Z121" s="131"/>
      <c r="AA121" s="131"/>
      <c r="AB121" s="131"/>
      <c r="AC121" s="131"/>
      <c r="AD121" s="131"/>
      <c r="AE121" s="131"/>
      <c r="AF121" s="131"/>
      <c r="AG121" s="131"/>
      <c r="AH121" s="131"/>
      <c r="AI121" s="131"/>
      <c r="AJ121" s="131"/>
      <c r="AK121" s="131"/>
      <c r="AL121" s="131"/>
      <c r="AM121" s="131"/>
      <c r="AN121" s="131"/>
      <c r="AO121" s="131"/>
    </row>
    <row r="122" ht="15.75" customHeight="1">
      <c r="A122" s="131"/>
      <c r="B122" s="131"/>
      <c r="C122" s="131"/>
      <c r="D122" s="131"/>
      <c r="E122" s="131"/>
      <c r="F122" s="131"/>
      <c r="G122" s="131"/>
      <c r="H122" s="131"/>
      <c r="I122" s="131"/>
      <c r="J122" s="131"/>
      <c r="K122" s="131"/>
      <c r="L122" s="131"/>
      <c r="M122" s="131"/>
      <c r="N122" s="131"/>
      <c r="O122" s="131"/>
      <c r="P122" s="131"/>
      <c r="Q122" s="131"/>
      <c r="R122" s="131"/>
      <c r="S122" s="131"/>
      <c r="T122" s="131"/>
      <c r="U122" s="131"/>
      <c r="V122" s="131"/>
      <c r="W122" s="131"/>
      <c r="X122" s="131"/>
      <c r="Y122" s="131"/>
      <c r="Z122" s="131"/>
      <c r="AA122" s="131"/>
      <c r="AB122" s="131"/>
      <c r="AC122" s="131"/>
      <c r="AD122" s="131"/>
      <c r="AE122" s="131"/>
      <c r="AF122" s="131"/>
      <c r="AG122" s="131"/>
      <c r="AH122" s="131"/>
      <c r="AI122" s="131"/>
      <c r="AJ122" s="131"/>
      <c r="AK122" s="131"/>
      <c r="AL122" s="131"/>
      <c r="AM122" s="131"/>
      <c r="AN122" s="131"/>
      <c r="AO122" s="131"/>
    </row>
    <row r="123" ht="15.75" customHeight="1">
      <c r="A123" s="131"/>
      <c r="B123" s="131"/>
      <c r="C123" s="131"/>
      <c r="D123" s="131"/>
      <c r="E123" s="131"/>
      <c r="F123" s="131"/>
      <c r="G123" s="131"/>
      <c r="H123" s="131"/>
      <c r="I123" s="131"/>
      <c r="J123" s="131"/>
      <c r="K123" s="131"/>
      <c r="L123" s="131"/>
      <c r="M123" s="131"/>
      <c r="N123" s="131"/>
      <c r="O123" s="131"/>
      <c r="P123" s="131"/>
      <c r="Q123" s="131"/>
      <c r="R123" s="131"/>
      <c r="S123" s="131"/>
      <c r="T123" s="131"/>
      <c r="U123" s="131"/>
      <c r="V123" s="131"/>
      <c r="W123" s="131"/>
      <c r="X123" s="131"/>
      <c r="Y123" s="131"/>
      <c r="Z123" s="131"/>
      <c r="AA123" s="131"/>
      <c r="AB123" s="131"/>
      <c r="AC123" s="131"/>
      <c r="AD123" s="131"/>
      <c r="AE123" s="131"/>
      <c r="AF123" s="131"/>
      <c r="AG123" s="131"/>
      <c r="AH123" s="131"/>
      <c r="AI123" s="131"/>
      <c r="AJ123" s="131"/>
      <c r="AK123" s="131"/>
      <c r="AL123" s="131"/>
      <c r="AM123" s="131"/>
      <c r="AN123" s="131"/>
      <c r="AO123" s="131"/>
    </row>
    <row r="124" ht="15.75" customHeight="1">
      <c r="A124" s="131"/>
      <c r="B124" s="131"/>
      <c r="C124" s="131"/>
      <c r="D124" s="131"/>
      <c r="E124" s="131"/>
      <c r="F124" s="131"/>
      <c r="G124" s="131"/>
      <c r="H124" s="131"/>
      <c r="I124" s="131"/>
      <c r="J124" s="131"/>
      <c r="K124" s="131"/>
      <c r="L124" s="131"/>
      <c r="M124" s="131"/>
      <c r="N124" s="131"/>
      <c r="O124" s="131"/>
      <c r="P124" s="131"/>
      <c r="Q124" s="131"/>
      <c r="R124" s="131"/>
      <c r="S124" s="131"/>
      <c r="T124" s="131"/>
      <c r="U124" s="131"/>
      <c r="V124" s="131"/>
      <c r="W124" s="131"/>
      <c r="X124" s="131"/>
      <c r="Y124" s="131"/>
      <c r="Z124" s="131"/>
      <c r="AA124" s="131"/>
      <c r="AB124" s="131"/>
      <c r="AC124" s="131"/>
      <c r="AD124" s="131"/>
      <c r="AE124" s="131"/>
      <c r="AF124" s="131"/>
      <c r="AG124" s="131"/>
      <c r="AH124" s="131"/>
      <c r="AI124" s="131"/>
      <c r="AJ124" s="131"/>
      <c r="AK124" s="131"/>
      <c r="AL124" s="131"/>
      <c r="AM124" s="131"/>
      <c r="AN124" s="131"/>
      <c r="AO124" s="131"/>
    </row>
    <row r="125" ht="15.75" customHeight="1">
      <c r="A125" s="131"/>
      <c r="B125" s="131"/>
      <c r="C125" s="131"/>
      <c r="D125" s="131"/>
      <c r="E125" s="131"/>
      <c r="F125" s="131"/>
      <c r="G125" s="131"/>
      <c r="H125" s="131"/>
      <c r="I125" s="131"/>
      <c r="J125" s="131"/>
      <c r="K125" s="131"/>
      <c r="L125" s="131"/>
      <c r="M125" s="131"/>
      <c r="N125" s="131"/>
      <c r="O125" s="131"/>
      <c r="P125" s="131"/>
      <c r="Q125" s="131"/>
      <c r="R125" s="131"/>
      <c r="S125" s="131"/>
      <c r="T125" s="131"/>
      <c r="U125" s="131"/>
      <c r="V125" s="131"/>
      <c r="W125" s="131"/>
      <c r="X125" s="131"/>
      <c r="Y125" s="131"/>
      <c r="Z125" s="131"/>
      <c r="AA125" s="131"/>
      <c r="AB125" s="131"/>
      <c r="AC125" s="131"/>
      <c r="AD125" s="131"/>
      <c r="AE125" s="131"/>
      <c r="AF125" s="131"/>
      <c r="AG125" s="131"/>
      <c r="AH125" s="131"/>
      <c r="AI125" s="131"/>
      <c r="AJ125" s="131"/>
      <c r="AK125" s="131"/>
      <c r="AL125" s="131"/>
      <c r="AM125" s="131"/>
      <c r="AN125" s="131"/>
      <c r="AO125" s="131"/>
    </row>
    <row r="126" ht="15.75" customHeight="1">
      <c r="A126" s="131"/>
      <c r="B126" s="131"/>
      <c r="C126" s="131"/>
      <c r="D126" s="131"/>
      <c r="E126" s="131"/>
      <c r="F126" s="131"/>
      <c r="G126" s="131"/>
      <c r="H126" s="131"/>
      <c r="I126" s="131"/>
      <c r="J126" s="131"/>
      <c r="K126" s="131"/>
      <c r="L126" s="131"/>
      <c r="M126" s="131"/>
      <c r="N126" s="131"/>
      <c r="O126" s="131"/>
      <c r="P126" s="131"/>
      <c r="Q126" s="131"/>
      <c r="R126" s="131"/>
      <c r="S126" s="131"/>
      <c r="T126" s="131"/>
      <c r="U126" s="131"/>
      <c r="V126" s="131"/>
      <c r="W126" s="131"/>
      <c r="X126" s="131"/>
      <c r="Y126" s="131"/>
      <c r="Z126" s="131"/>
      <c r="AA126" s="131"/>
      <c r="AB126" s="131"/>
      <c r="AC126" s="131"/>
      <c r="AD126" s="131"/>
      <c r="AE126" s="131"/>
      <c r="AF126" s="131"/>
      <c r="AG126" s="131"/>
      <c r="AH126" s="131"/>
      <c r="AI126" s="131"/>
      <c r="AJ126" s="131"/>
      <c r="AK126" s="131"/>
      <c r="AL126" s="131"/>
      <c r="AM126" s="131"/>
      <c r="AN126" s="131"/>
      <c r="AO126" s="131"/>
    </row>
    <row r="127" ht="15.75" customHeight="1">
      <c r="A127" s="131"/>
      <c r="B127" s="131"/>
      <c r="C127" s="131"/>
      <c r="D127" s="131"/>
      <c r="E127" s="131"/>
      <c r="F127" s="131"/>
      <c r="G127" s="131"/>
      <c r="H127" s="131"/>
      <c r="I127" s="131"/>
      <c r="J127" s="131"/>
      <c r="K127" s="131"/>
      <c r="L127" s="131"/>
      <c r="M127" s="131"/>
      <c r="N127" s="131"/>
      <c r="O127" s="131"/>
      <c r="P127" s="131"/>
      <c r="Q127" s="131"/>
      <c r="R127" s="131"/>
      <c r="S127" s="131"/>
      <c r="T127" s="131"/>
      <c r="U127" s="131"/>
      <c r="V127" s="131"/>
      <c r="W127" s="131"/>
      <c r="X127" s="131"/>
      <c r="Y127" s="131"/>
      <c r="Z127" s="131"/>
      <c r="AA127" s="131"/>
      <c r="AB127" s="131"/>
      <c r="AC127" s="131"/>
      <c r="AD127" s="131"/>
      <c r="AE127" s="131"/>
      <c r="AF127" s="131"/>
      <c r="AG127" s="131"/>
      <c r="AH127" s="131"/>
      <c r="AI127" s="131"/>
      <c r="AJ127" s="131"/>
      <c r="AK127" s="131"/>
      <c r="AL127" s="131"/>
      <c r="AM127" s="131"/>
      <c r="AN127" s="131"/>
      <c r="AO127" s="131"/>
    </row>
    <row r="128" ht="15.75" customHeight="1">
      <c r="A128" s="131"/>
      <c r="B128" s="131"/>
      <c r="C128" s="131"/>
      <c r="D128" s="131"/>
      <c r="E128" s="131"/>
      <c r="F128" s="131"/>
      <c r="G128" s="131"/>
      <c r="H128" s="131"/>
      <c r="I128" s="131"/>
      <c r="J128" s="131"/>
      <c r="K128" s="131"/>
      <c r="L128" s="131"/>
      <c r="M128" s="131"/>
      <c r="N128" s="131"/>
      <c r="O128" s="131"/>
      <c r="P128" s="131"/>
      <c r="Q128" s="131"/>
      <c r="R128" s="131"/>
      <c r="S128" s="131"/>
      <c r="T128" s="131"/>
      <c r="U128" s="131"/>
      <c r="V128" s="131"/>
      <c r="W128" s="131"/>
      <c r="X128" s="131"/>
      <c r="Y128" s="131"/>
      <c r="Z128" s="131"/>
      <c r="AA128" s="131"/>
      <c r="AB128" s="131"/>
      <c r="AC128" s="131"/>
      <c r="AD128" s="131"/>
      <c r="AE128" s="131"/>
      <c r="AF128" s="131"/>
      <c r="AG128" s="131"/>
      <c r="AH128" s="131"/>
      <c r="AI128" s="131"/>
      <c r="AJ128" s="131"/>
      <c r="AK128" s="131"/>
      <c r="AL128" s="131"/>
      <c r="AM128" s="131"/>
      <c r="AN128" s="131"/>
      <c r="AO128" s="131"/>
    </row>
    <row r="129" ht="15.75" customHeight="1">
      <c r="A129" s="131"/>
      <c r="B129" s="131"/>
      <c r="C129" s="131"/>
      <c r="D129" s="131"/>
      <c r="E129" s="131"/>
      <c r="F129" s="131"/>
      <c r="G129" s="131"/>
      <c r="H129" s="131"/>
      <c r="I129" s="131"/>
      <c r="J129" s="131"/>
      <c r="K129" s="131"/>
      <c r="L129" s="131"/>
      <c r="M129" s="131"/>
      <c r="N129" s="131"/>
      <c r="O129" s="131"/>
      <c r="P129" s="131"/>
      <c r="Q129" s="131"/>
      <c r="R129" s="131"/>
      <c r="S129" s="131"/>
      <c r="T129" s="131"/>
      <c r="U129" s="131"/>
      <c r="V129" s="131"/>
      <c r="W129" s="131"/>
      <c r="X129" s="131"/>
      <c r="Y129" s="131"/>
      <c r="Z129" s="131"/>
      <c r="AA129" s="131"/>
      <c r="AB129" s="131"/>
      <c r="AC129" s="131"/>
      <c r="AD129" s="131"/>
      <c r="AE129" s="131"/>
      <c r="AF129" s="131"/>
      <c r="AG129" s="131"/>
      <c r="AH129" s="131"/>
      <c r="AI129" s="131"/>
      <c r="AJ129" s="131"/>
      <c r="AK129" s="131"/>
      <c r="AL129" s="131"/>
      <c r="AM129" s="131"/>
      <c r="AN129" s="131"/>
      <c r="AO129" s="131"/>
    </row>
    <row r="130" ht="15.75" customHeight="1">
      <c r="A130" s="131"/>
      <c r="B130" s="131"/>
      <c r="C130" s="131"/>
      <c r="D130" s="131"/>
      <c r="E130" s="131"/>
      <c r="F130" s="131"/>
      <c r="G130" s="131"/>
      <c r="H130" s="131"/>
      <c r="I130" s="131"/>
      <c r="J130" s="131"/>
      <c r="K130" s="131"/>
      <c r="L130" s="131"/>
      <c r="M130" s="131"/>
      <c r="N130" s="131"/>
      <c r="O130" s="131"/>
      <c r="P130" s="131"/>
      <c r="Q130" s="131"/>
      <c r="R130" s="131"/>
      <c r="S130" s="131"/>
      <c r="T130" s="131"/>
      <c r="U130" s="131"/>
      <c r="V130" s="131"/>
      <c r="W130" s="131"/>
      <c r="X130" s="131"/>
      <c r="Y130" s="131"/>
      <c r="Z130" s="131"/>
      <c r="AA130" s="131"/>
      <c r="AB130" s="131"/>
      <c r="AC130" s="131"/>
      <c r="AD130" s="131"/>
      <c r="AE130" s="131"/>
      <c r="AF130" s="131"/>
      <c r="AG130" s="131"/>
      <c r="AH130" s="131"/>
      <c r="AI130" s="131"/>
      <c r="AJ130" s="131"/>
      <c r="AK130" s="131"/>
      <c r="AL130" s="131"/>
      <c r="AM130" s="131"/>
      <c r="AN130" s="131"/>
      <c r="AO130" s="131"/>
    </row>
    <row r="131" ht="15.75" customHeight="1">
      <c r="A131" s="131"/>
      <c r="B131" s="131"/>
      <c r="C131" s="131"/>
      <c r="D131" s="131"/>
      <c r="E131" s="131"/>
      <c r="F131" s="131"/>
      <c r="G131" s="131"/>
      <c r="H131" s="131"/>
      <c r="I131" s="131"/>
      <c r="J131" s="131"/>
      <c r="K131" s="131"/>
      <c r="L131" s="131"/>
      <c r="M131" s="131"/>
      <c r="N131" s="131"/>
      <c r="O131" s="131"/>
      <c r="P131" s="131"/>
      <c r="Q131" s="131"/>
      <c r="R131" s="131"/>
      <c r="S131" s="131"/>
      <c r="T131" s="131"/>
      <c r="U131" s="131"/>
      <c r="V131" s="131"/>
      <c r="W131" s="131"/>
      <c r="X131" s="131"/>
      <c r="Y131" s="131"/>
      <c r="Z131" s="131"/>
      <c r="AA131" s="131"/>
      <c r="AB131" s="131"/>
      <c r="AC131" s="131"/>
      <c r="AD131" s="131"/>
      <c r="AE131" s="131"/>
      <c r="AF131" s="131"/>
      <c r="AG131" s="131"/>
      <c r="AH131" s="131"/>
      <c r="AI131" s="131"/>
      <c r="AJ131" s="131"/>
      <c r="AK131" s="131"/>
      <c r="AL131" s="131"/>
      <c r="AM131" s="131"/>
      <c r="AN131" s="131"/>
      <c r="AO131" s="131"/>
    </row>
    <row r="132" ht="15.75" customHeight="1">
      <c r="A132" s="131"/>
      <c r="B132" s="131"/>
      <c r="C132" s="131"/>
      <c r="D132" s="131"/>
      <c r="E132" s="131"/>
      <c r="F132" s="131"/>
      <c r="G132" s="131"/>
      <c r="H132" s="131"/>
      <c r="I132" s="131"/>
      <c r="J132" s="131"/>
      <c r="K132" s="131"/>
      <c r="L132" s="131"/>
      <c r="M132" s="131"/>
      <c r="N132" s="131"/>
      <c r="O132" s="131"/>
      <c r="P132" s="131"/>
      <c r="Q132" s="131"/>
      <c r="R132" s="131"/>
      <c r="S132" s="131"/>
      <c r="T132" s="131"/>
      <c r="U132" s="131"/>
      <c r="V132" s="131"/>
      <c r="W132" s="131"/>
      <c r="X132" s="131"/>
      <c r="Y132" s="131"/>
      <c r="Z132" s="131"/>
      <c r="AA132" s="131"/>
      <c r="AB132" s="131"/>
      <c r="AC132" s="131"/>
      <c r="AD132" s="131"/>
      <c r="AE132" s="131"/>
      <c r="AF132" s="131"/>
      <c r="AG132" s="131"/>
      <c r="AH132" s="131"/>
      <c r="AI132" s="131"/>
      <c r="AJ132" s="131"/>
      <c r="AK132" s="131"/>
      <c r="AL132" s="131"/>
      <c r="AM132" s="131"/>
      <c r="AN132" s="131"/>
      <c r="AO132" s="131"/>
    </row>
    <row r="133" ht="15.75" customHeight="1">
      <c r="A133" s="131"/>
      <c r="B133" s="131"/>
      <c r="C133" s="131"/>
      <c r="D133" s="131"/>
      <c r="E133" s="131"/>
      <c r="F133" s="131"/>
      <c r="G133" s="131"/>
      <c r="H133" s="131"/>
      <c r="I133" s="131"/>
      <c r="J133" s="131"/>
      <c r="K133" s="131"/>
      <c r="L133" s="131"/>
      <c r="M133" s="131"/>
      <c r="N133" s="131"/>
      <c r="O133" s="131"/>
      <c r="P133" s="131"/>
      <c r="Q133" s="131"/>
      <c r="R133" s="131"/>
      <c r="S133" s="131"/>
      <c r="T133" s="131"/>
      <c r="U133" s="131"/>
      <c r="V133" s="131"/>
      <c r="W133" s="131"/>
      <c r="X133" s="131"/>
      <c r="Y133" s="131"/>
      <c r="Z133" s="131"/>
      <c r="AA133" s="131"/>
      <c r="AB133" s="131"/>
      <c r="AC133" s="131"/>
      <c r="AD133" s="131"/>
      <c r="AE133" s="131"/>
      <c r="AF133" s="131"/>
      <c r="AG133" s="131"/>
      <c r="AH133" s="131"/>
      <c r="AI133" s="131"/>
      <c r="AJ133" s="131"/>
      <c r="AK133" s="131"/>
      <c r="AL133" s="131"/>
      <c r="AM133" s="131"/>
      <c r="AN133" s="131"/>
      <c r="AO133" s="131"/>
    </row>
    <row r="134" ht="15.75" customHeight="1">
      <c r="A134" s="131"/>
      <c r="B134" s="131"/>
      <c r="C134" s="131"/>
      <c r="D134" s="131"/>
      <c r="E134" s="131"/>
      <c r="F134" s="131"/>
      <c r="G134" s="131"/>
      <c r="H134" s="131"/>
      <c r="I134" s="131"/>
      <c r="J134" s="131"/>
      <c r="K134" s="131"/>
      <c r="L134" s="131"/>
      <c r="M134" s="131"/>
      <c r="N134" s="131"/>
      <c r="O134" s="131"/>
      <c r="P134" s="131"/>
      <c r="Q134" s="131"/>
      <c r="R134" s="131"/>
      <c r="S134" s="131"/>
      <c r="T134" s="131"/>
      <c r="U134" s="131"/>
      <c r="V134" s="131"/>
      <c r="W134" s="131"/>
      <c r="X134" s="131"/>
      <c r="Y134" s="131"/>
      <c r="Z134" s="131"/>
      <c r="AA134" s="131"/>
      <c r="AB134" s="131"/>
      <c r="AC134" s="131"/>
      <c r="AD134" s="131"/>
      <c r="AE134" s="131"/>
      <c r="AF134" s="131"/>
      <c r="AG134" s="131"/>
      <c r="AH134" s="131"/>
      <c r="AI134" s="131"/>
      <c r="AJ134" s="131"/>
      <c r="AK134" s="131"/>
      <c r="AL134" s="131"/>
      <c r="AM134" s="131"/>
      <c r="AN134" s="131"/>
      <c r="AO134" s="131"/>
    </row>
    <row r="135" ht="15.75" customHeight="1">
      <c r="A135" s="131"/>
      <c r="B135" s="131"/>
      <c r="C135" s="131"/>
      <c r="D135" s="131"/>
      <c r="E135" s="131"/>
      <c r="F135" s="131"/>
      <c r="G135" s="131"/>
      <c r="H135" s="131"/>
      <c r="I135" s="131"/>
      <c r="J135" s="131"/>
      <c r="K135" s="131"/>
      <c r="L135" s="131"/>
      <c r="M135" s="131"/>
      <c r="N135" s="131"/>
      <c r="O135" s="131"/>
      <c r="P135" s="131"/>
      <c r="Q135" s="131"/>
      <c r="R135" s="131"/>
      <c r="S135" s="131"/>
      <c r="T135" s="131"/>
      <c r="U135" s="131"/>
      <c r="V135" s="131"/>
      <c r="W135" s="131"/>
      <c r="X135" s="131"/>
      <c r="Y135" s="131"/>
      <c r="Z135" s="131"/>
      <c r="AA135" s="131"/>
      <c r="AB135" s="131"/>
      <c r="AC135" s="131"/>
      <c r="AD135" s="131"/>
      <c r="AE135" s="131"/>
      <c r="AF135" s="131"/>
      <c r="AG135" s="131"/>
      <c r="AH135" s="131"/>
      <c r="AI135" s="131"/>
      <c r="AJ135" s="131"/>
      <c r="AK135" s="131"/>
      <c r="AL135" s="131"/>
      <c r="AM135" s="131"/>
      <c r="AN135" s="131"/>
      <c r="AO135" s="131"/>
    </row>
    <row r="136" ht="15.75" customHeight="1">
      <c r="A136" s="131"/>
      <c r="B136" s="131"/>
      <c r="C136" s="131"/>
      <c r="D136" s="131"/>
      <c r="E136" s="131"/>
      <c r="F136" s="131"/>
      <c r="G136" s="131"/>
      <c r="H136" s="131"/>
      <c r="I136" s="131"/>
      <c r="J136" s="131"/>
      <c r="K136" s="131"/>
      <c r="L136" s="131"/>
      <c r="M136" s="131"/>
      <c r="N136" s="131"/>
      <c r="O136" s="131"/>
      <c r="P136" s="131"/>
      <c r="Q136" s="131"/>
      <c r="R136" s="131"/>
      <c r="S136" s="131"/>
      <c r="T136" s="131"/>
      <c r="U136" s="131"/>
      <c r="V136" s="131"/>
      <c r="W136" s="131"/>
      <c r="X136" s="131"/>
      <c r="Y136" s="131"/>
      <c r="Z136" s="131"/>
      <c r="AA136" s="131"/>
      <c r="AB136" s="131"/>
      <c r="AC136" s="131"/>
      <c r="AD136" s="131"/>
      <c r="AE136" s="131"/>
      <c r="AF136" s="131"/>
      <c r="AG136" s="131"/>
      <c r="AH136" s="131"/>
      <c r="AI136" s="131"/>
      <c r="AJ136" s="131"/>
      <c r="AK136" s="131"/>
      <c r="AL136" s="131"/>
      <c r="AM136" s="131"/>
      <c r="AN136" s="131"/>
      <c r="AO136" s="131"/>
    </row>
    <row r="137" ht="15.75" customHeight="1">
      <c r="A137" s="131"/>
      <c r="B137" s="131"/>
      <c r="C137" s="131"/>
      <c r="D137" s="131"/>
      <c r="E137" s="131"/>
      <c r="F137" s="131"/>
      <c r="G137" s="131"/>
      <c r="H137" s="131"/>
      <c r="I137" s="131"/>
      <c r="J137" s="131"/>
      <c r="K137" s="131"/>
      <c r="L137" s="131"/>
      <c r="M137" s="131"/>
      <c r="N137" s="131"/>
      <c r="O137" s="131"/>
      <c r="P137" s="131"/>
      <c r="Q137" s="131"/>
      <c r="R137" s="131"/>
      <c r="S137" s="131"/>
      <c r="T137" s="131"/>
      <c r="U137" s="131"/>
      <c r="V137" s="131"/>
      <c r="W137" s="131"/>
      <c r="X137" s="131"/>
      <c r="Y137" s="131"/>
      <c r="Z137" s="131"/>
      <c r="AA137" s="131"/>
      <c r="AB137" s="131"/>
      <c r="AC137" s="131"/>
      <c r="AD137" s="131"/>
      <c r="AE137" s="131"/>
      <c r="AF137" s="131"/>
      <c r="AG137" s="131"/>
      <c r="AH137" s="131"/>
      <c r="AI137" s="131"/>
      <c r="AJ137" s="131"/>
      <c r="AK137" s="131"/>
      <c r="AL137" s="131"/>
      <c r="AM137" s="131"/>
      <c r="AN137" s="131"/>
      <c r="AO137" s="131"/>
    </row>
    <row r="138" ht="15.75" customHeight="1">
      <c r="A138" s="131"/>
      <c r="B138" s="131"/>
      <c r="C138" s="131"/>
      <c r="D138" s="131"/>
      <c r="E138" s="131"/>
      <c r="F138" s="131"/>
      <c r="G138" s="131"/>
      <c r="H138" s="131"/>
      <c r="I138" s="131"/>
      <c r="J138" s="131"/>
      <c r="K138" s="131"/>
      <c r="L138" s="131"/>
      <c r="M138" s="131"/>
      <c r="N138" s="131"/>
      <c r="O138" s="131"/>
      <c r="P138" s="131"/>
      <c r="Q138" s="131"/>
      <c r="R138" s="131"/>
      <c r="S138" s="131"/>
      <c r="T138" s="131"/>
      <c r="U138" s="131"/>
      <c r="V138" s="131"/>
      <c r="W138" s="131"/>
      <c r="X138" s="131"/>
      <c r="Y138" s="131"/>
      <c r="Z138" s="131"/>
      <c r="AA138" s="131"/>
      <c r="AB138" s="131"/>
      <c r="AC138" s="131"/>
      <c r="AD138" s="131"/>
      <c r="AE138" s="131"/>
      <c r="AF138" s="131"/>
      <c r="AG138" s="131"/>
      <c r="AH138" s="131"/>
      <c r="AI138" s="131"/>
      <c r="AJ138" s="131"/>
      <c r="AK138" s="131"/>
      <c r="AL138" s="131"/>
      <c r="AM138" s="131"/>
      <c r="AN138" s="131"/>
      <c r="AO138" s="131"/>
    </row>
    <row r="139" ht="15.75" customHeight="1">
      <c r="A139" s="131"/>
      <c r="B139" s="131"/>
      <c r="C139" s="131"/>
      <c r="D139" s="131"/>
      <c r="E139" s="131"/>
      <c r="F139" s="131"/>
      <c r="G139" s="131"/>
      <c r="H139" s="131"/>
      <c r="I139" s="131"/>
      <c r="J139" s="131"/>
      <c r="K139" s="131"/>
      <c r="L139" s="131"/>
      <c r="M139" s="131"/>
      <c r="N139" s="131"/>
      <c r="O139" s="131"/>
      <c r="P139" s="131"/>
      <c r="Q139" s="131"/>
      <c r="R139" s="131"/>
      <c r="S139" s="131"/>
      <c r="T139" s="131"/>
      <c r="U139" s="131"/>
      <c r="V139" s="131"/>
      <c r="W139" s="131"/>
      <c r="X139" s="131"/>
      <c r="Y139" s="131"/>
      <c r="Z139" s="131"/>
      <c r="AA139" s="131"/>
      <c r="AB139" s="131"/>
      <c r="AC139" s="131"/>
      <c r="AD139" s="131"/>
      <c r="AE139" s="131"/>
      <c r="AF139" s="131"/>
      <c r="AG139" s="131"/>
      <c r="AH139" s="131"/>
      <c r="AI139" s="131"/>
      <c r="AJ139" s="131"/>
      <c r="AK139" s="131"/>
      <c r="AL139" s="131"/>
      <c r="AM139" s="131"/>
      <c r="AN139" s="131"/>
      <c r="AO139" s="131"/>
    </row>
    <row r="140" ht="15.75" customHeight="1">
      <c r="A140" s="131"/>
      <c r="B140" s="131"/>
      <c r="C140" s="131"/>
      <c r="D140" s="131"/>
      <c r="E140" s="131"/>
      <c r="F140" s="131"/>
      <c r="G140" s="131"/>
      <c r="H140" s="131"/>
      <c r="I140" s="131"/>
      <c r="J140" s="131"/>
      <c r="K140" s="131"/>
      <c r="L140" s="131"/>
      <c r="M140" s="131"/>
      <c r="N140" s="131"/>
      <c r="O140" s="131"/>
      <c r="P140" s="131"/>
      <c r="Q140" s="131"/>
      <c r="R140" s="131"/>
      <c r="S140" s="131"/>
      <c r="T140" s="131"/>
      <c r="U140" s="131"/>
      <c r="V140" s="131"/>
      <c r="W140" s="131"/>
      <c r="X140" s="131"/>
      <c r="Y140" s="131"/>
      <c r="Z140" s="131"/>
      <c r="AA140" s="131"/>
      <c r="AB140" s="131"/>
      <c r="AC140" s="131"/>
      <c r="AD140" s="131"/>
      <c r="AE140" s="131"/>
      <c r="AF140" s="131"/>
      <c r="AG140" s="131"/>
      <c r="AH140" s="131"/>
      <c r="AI140" s="131"/>
      <c r="AJ140" s="131"/>
      <c r="AK140" s="131"/>
      <c r="AL140" s="131"/>
      <c r="AM140" s="131"/>
      <c r="AN140" s="131"/>
      <c r="AO140" s="131"/>
    </row>
    <row r="141" ht="15.75" customHeight="1">
      <c r="A141" s="131"/>
      <c r="B141" s="131"/>
      <c r="C141" s="131"/>
      <c r="D141" s="131"/>
      <c r="E141" s="131"/>
      <c r="F141" s="131"/>
      <c r="G141" s="131"/>
      <c r="H141" s="131"/>
      <c r="I141" s="131"/>
      <c r="J141" s="131"/>
      <c r="K141" s="131"/>
      <c r="L141" s="131"/>
      <c r="M141" s="131"/>
      <c r="N141" s="131"/>
      <c r="O141" s="131"/>
      <c r="P141" s="131"/>
      <c r="Q141" s="131"/>
      <c r="R141" s="131"/>
      <c r="S141" s="131"/>
      <c r="T141" s="131"/>
      <c r="U141" s="131"/>
      <c r="V141" s="131"/>
      <c r="W141" s="131"/>
      <c r="X141" s="131"/>
      <c r="Y141" s="131"/>
      <c r="Z141" s="131"/>
      <c r="AA141" s="131"/>
      <c r="AB141" s="131"/>
      <c r="AC141" s="131"/>
      <c r="AD141" s="131"/>
      <c r="AE141" s="131"/>
      <c r="AF141" s="131"/>
      <c r="AG141" s="131"/>
      <c r="AH141" s="131"/>
      <c r="AI141" s="131"/>
      <c r="AJ141" s="131"/>
      <c r="AK141" s="131"/>
      <c r="AL141" s="131"/>
      <c r="AM141" s="131"/>
      <c r="AN141" s="131"/>
      <c r="AO141" s="131"/>
    </row>
    <row r="142" ht="15.75" customHeight="1">
      <c r="A142" s="131"/>
      <c r="B142" s="131"/>
      <c r="C142" s="131"/>
      <c r="D142" s="131"/>
      <c r="E142" s="131"/>
      <c r="F142" s="131"/>
      <c r="G142" s="131"/>
      <c r="H142" s="131"/>
      <c r="I142" s="131"/>
      <c r="J142" s="131"/>
      <c r="K142" s="131"/>
      <c r="L142" s="131"/>
      <c r="M142" s="131"/>
      <c r="N142" s="131"/>
      <c r="O142" s="131"/>
      <c r="P142" s="131"/>
      <c r="Q142" s="131"/>
      <c r="R142" s="131"/>
      <c r="S142" s="131"/>
      <c r="T142" s="131"/>
      <c r="U142" s="131"/>
      <c r="V142" s="131"/>
      <c r="W142" s="131"/>
      <c r="X142" s="131"/>
      <c r="Y142" s="131"/>
      <c r="Z142" s="131"/>
      <c r="AA142" s="131"/>
      <c r="AB142" s="131"/>
      <c r="AC142" s="131"/>
      <c r="AD142" s="131"/>
      <c r="AE142" s="131"/>
      <c r="AF142" s="131"/>
      <c r="AG142" s="131"/>
      <c r="AH142" s="131"/>
      <c r="AI142" s="131"/>
      <c r="AJ142" s="131"/>
      <c r="AK142" s="131"/>
      <c r="AL142" s="131"/>
      <c r="AM142" s="131"/>
      <c r="AN142" s="131"/>
      <c r="AO142" s="131"/>
    </row>
    <row r="143" ht="15.75" customHeight="1">
      <c r="A143" s="131"/>
      <c r="B143" s="131"/>
      <c r="C143" s="131"/>
      <c r="D143" s="131"/>
      <c r="E143" s="131"/>
      <c r="F143" s="131"/>
      <c r="G143" s="131"/>
      <c r="H143" s="131"/>
      <c r="I143" s="131"/>
      <c r="J143" s="131"/>
      <c r="K143" s="131"/>
      <c r="L143" s="131"/>
      <c r="M143" s="131"/>
      <c r="N143" s="131"/>
      <c r="O143" s="131"/>
      <c r="P143" s="131"/>
      <c r="Q143" s="131"/>
      <c r="R143" s="131"/>
      <c r="S143" s="131"/>
      <c r="T143" s="131"/>
      <c r="U143" s="131"/>
      <c r="V143" s="131"/>
      <c r="W143" s="131"/>
      <c r="X143" s="131"/>
      <c r="Y143" s="131"/>
      <c r="Z143" s="131"/>
      <c r="AA143" s="131"/>
      <c r="AB143" s="131"/>
      <c r="AC143" s="131"/>
      <c r="AD143" s="131"/>
      <c r="AE143" s="131"/>
      <c r="AF143" s="131"/>
      <c r="AG143" s="131"/>
      <c r="AH143" s="131"/>
      <c r="AI143" s="131"/>
      <c r="AJ143" s="131"/>
      <c r="AK143" s="131"/>
      <c r="AL143" s="131"/>
      <c r="AM143" s="131"/>
      <c r="AN143" s="131"/>
      <c r="AO143" s="131"/>
    </row>
    <row r="144" ht="15.75" customHeight="1">
      <c r="A144" s="131"/>
      <c r="B144" s="131"/>
      <c r="C144" s="131"/>
      <c r="D144" s="131"/>
      <c r="E144" s="131"/>
      <c r="F144" s="131"/>
      <c r="G144" s="131"/>
      <c r="H144" s="131"/>
      <c r="I144" s="131"/>
      <c r="J144" s="131"/>
      <c r="K144" s="131"/>
      <c r="L144" s="131"/>
      <c r="M144" s="131"/>
      <c r="N144" s="131"/>
      <c r="O144" s="131"/>
      <c r="P144" s="131"/>
      <c r="Q144" s="131"/>
      <c r="R144" s="131"/>
      <c r="S144" s="131"/>
      <c r="T144" s="131"/>
      <c r="U144" s="131"/>
      <c r="V144" s="131"/>
      <c r="W144" s="131"/>
      <c r="X144" s="131"/>
      <c r="Y144" s="131"/>
      <c r="Z144" s="131"/>
      <c r="AA144" s="131"/>
      <c r="AB144" s="131"/>
      <c r="AC144" s="131"/>
      <c r="AD144" s="131"/>
      <c r="AE144" s="131"/>
      <c r="AF144" s="131"/>
      <c r="AG144" s="131"/>
      <c r="AH144" s="131"/>
      <c r="AI144" s="131"/>
      <c r="AJ144" s="131"/>
      <c r="AK144" s="131"/>
      <c r="AL144" s="131"/>
      <c r="AM144" s="131"/>
      <c r="AN144" s="131"/>
      <c r="AO144" s="131"/>
    </row>
    <row r="145" ht="15.75" customHeight="1">
      <c r="A145" s="131"/>
      <c r="B145" s="131"/>
      <c r="C145" s="131"/>
      <c r="D145" s="131"/>
      <c r="E145" s="131"/>
      <c r="F145" s="131"/>
      <c r="G145" s="131"/>
      <c r="H145" s="131"/>
      <c r="I145" s="131"/>
      <c r="J145" s="131"/>
      <c r="K145" s="131"/>
      <c r="L145" s="131"/>
      <c r="M145" s="131"/>
      <c r="N145" s="131"/>
      <c r="O145" s="131"/>
      <c r="P145" s="131"/>
      <c r="Q145" s="131"/>
      <c r="R145" s="131"/>
      <c r="S145" s="131"/>
      <c r="T145" s="131"/>
      <c r="U145" s="131"/>
      <c r="V145" s="131"/>
      <c r="W145" s="131"/>
      <c r="X145" s="131"/>
      <c r="Y145" s="131"/>
      <c r="Z145" s="131"/>
      <c r="AA145" s="131"/>
      <c r="AB145" s="131"/>
      <c r="AC145" s="131"/>
      <c r="AD145" s="131"/>
      <c r="AE145" s="131"/>
      <c r="AF145" s="131"/>
      <c r="AG145" s="131"/>
      <c r="AH145" s="131"/>
      <c r="AI145" s="131"/>
      <c r="AJ145" s="131"/>
      <c r="AK145" s="131"/>
      <c r="AL145" s="131"/>
      <c r="AM145" s="131"/>
      <c r="AN145" s="131"/>
      <c r="AO145" s="131"/>
    </row>
    <row r="146" ht="15.75" customHeight="1">
      <c r="A146" s="131"/>
      <c r="B146" s="131"/>
      <c r="C146" s="131"/>
      <c r="D146" s="131"/>
      <c r="E146" s="131"/>
      <c r="F146" s="131"/>
      <c r="G146" s="131"/>
      <c r="H146" s="131"/>
      <c r="I146" s="131"/>
      <c r="J146" s="131"/>
      <c r="K146" s="131"/>
      <c r="L146" s="131"/>
      <c r="M146" s="131"/>
      <c r="N146" s="131"/>
      <c r="O146" s="131"/>
      <c r="P146" s="131"/>
      <c r="Q146" s="131"/>
      <c r="R146" s="131"/>
      <c r="S146" s="131"/>
      <c r="T146" s="131"/>
      <c r="U146" s="131"/>
      <c r="V146" s="131"/>
      <c r="W146" s="131"/>
      <c r="X146" s="131"/>
      <c r="Y146" s="131"/>
      <c r="Z146" s="131"/>
      <c r="AA146" s="131"/>
      <c r="AB146" s="131"/>
      <c r="AC146" s="131"/>
      <c r="AD146" s="131"/>
      <c r="AE146" s="131"/>
      <c r="AF146" s="131"/>
      <c r="AG146" s="131"/>
      <c r="AH146" s="131"/>
      <c r="AI146" s="131"/>
      <c r="AJ146" s="131"/>
      <c r="AK146" s="131"/>
      <c r="AL146" s="131"/>
      <c r="AM146" s="131"/>
      <c r="AN146" s="131"/>
      <c r="AO146" s="131"/>
    </row>
    <row r="147" ht="15.75" customHeight="1">
      <c r="A147" s="131"/>
      <c r="B147" s="131"/>
      <c r="C147" s="131"/>
      <c r="D147" s="131"/>
      <c r="E147" s="131"/>
      <c r="F147" s="131"/>
      <c r="G147" s="131"/>
      <c r="H147" s="131"/>
      <c r="I147" s="131"/>
      <c r="J147" s="131"/>
      <c r="K147" s="131"/>
      <c r="L147" s="131"/>
      <c r="M147" s="131"/>
      <c r="N147" s="131"/>
      <c r="O147" s="131"/>
      <c r="P147" s="131"/>
      <c r="Q147" s="131"/>
      <c r="R147" s="131"/>
      <c r="S147" s="131"/>
      <c r="T147" s="131"/>
      <c r="U147" s="131"/>
      <c r="V147" s="131"/>
      <c r="W147" s="131"/>
      <c r="X147" s="131"/>
      <c r="Y147" s="131"/>
      <c r="Z147" s="131"/>
      <c r="AA147" s="131"/>
      <c r="AB147" s="131"/>
      <c r="AC147" s="131"/>
      <c r="AD147" s="131"/>
      <c r="AE147" s="131"/>
      <c r="AF147" s="131"/>
      <c r="AG147" s="131"/>
      <c r="AH147" s="131"/>
      <c r="AI147" s="131"/>
      <c r="AJ147" s="131"/>
      <c r="AK147" s="131"/>
      <c r="AL147" s="131"/>
      <c r="AM147" s="131"/>
      <c r="AN147" s="131"/>
      <c r="AO147" s="131"/>
    </row>
    <row r="148" ht="15.75" customHeight="1">
      <c r="A148" s="131"/>
      <c r="B148" s="131"/>
      <c r="C148" s="131"/>
      <c r="D148" s="131"/>
      <c r="E148" s="131"/>
      <c r="F148" s="131"/>
      <c r="G148" s="131"/>
      <c r="H148" s="131"/>
      <c r="I148" s="131"/>
      <c r="J148" s="131"/>
      <c r="K148" s="131"/>
      <c r="L148" s="131"/>
      <c r="M148" s="131"/>
      <c r="N148" s="131"/>
      <c r="O148" s="131"/>
      <c r="P148" s="131"/>
      <c r="Q148" s="131"/>
      <c r="R148" s="131"/>
      <c r="S148" s="131"/>
      <c r="T148" s="131"/>
      <c r="U148" s="131"/>
      <c r="V148" s="131"/>
      <c r="W148" s="131"/>
      <c r="X148" s="131"/>
      <c r="Y148" s="131"/>
      <c r="Z148" s="131"/>
      <c r="AA148" s="131"/>
      <c r="AB148" s="131"/>
      <c r="AC148" s="131"/>
      <c r="AD148" s="131"/>
      <c r="AE148" s="131"/>
      <c r="AF148" s="131"/>
      <c r="AG148" s="131"/>
      <c r="AH148" s="131"/>
      <c r="AI148" s="131"/>
      <c r="AJ148" s="131"/>
      <c r="AK148" s="131"/>
      <c r="AL148" s="131"/>
      <c r="AM148" s="131"/>
      <c r="AN148" s="131"/>
      <c r="AO148" s="131"/>
    </row>
    <row r="149" ht="15.75" customHeight="1">
      <c r="A149" s="131"/>
      <c r="B149" s="131"/>
      <c r="C149" s="131"/>
      <c r="D149" s="131"/>
      <c r="E149" s="131"/>
      <c r="F149" s="131"/>
      <c r="G149" s="131"/>
      <c r="H149" s="131"/>
      <c r="I149" s="131"/>
      <c r="J149" s="131"/>
      <c r="K149" s="131"/>
      <c r="L149" s="131"/>
      <c r="M149" s="131"/>
      <c r="N149" s="131"/>
      <c r="O149" s="131"/>
      <c r="P149" s="131"/>
      <c r="Q149" s="131"/>
      <c r="R149" s="131"/>
      <c r="S149" s="131"/>
      <c r="T149" s="131"/>
      <c r="U149" s="131"/>
      <c r="V149" s="131"/>
      <c r="W149" s="131"/>
      <c r="X149" s="131"/>
      <c r="Y149" s="131"/>
      <c r="Z149" s="131"/>
      <c r="AA149" s="131"/>
      <c r="AB149" s="131"/>
      <c r="AC149" s="131"/>
      <c r="AD149" s="131"/>
      <c r="AE149" s="131"/>
      <c r="AF149" s="131"/>
      <c r="AG149" s="131"/>
      <c r="AH149" s="131"/>
      <c r="AI149" s="131"/>
      <c r="AJ149" s="131"/>
      <c r="AK149" s="131"/>
      <c r="AL149" s="131"/>
      <c r="AM149" s="131"/>
      <c r="AN149" s="131"/>
      <c r="AO149" s="131"/>
    </row>
    <row r="150" ht="15.75" customHeight="1">
      <c r="A150" s="131"/>
      <c r="B150" s="131"/>
      <c r="C150" s="131"/>
      <c r="D150" s="131"/>
      <c r="E150" s="131"/>
      <c r="F150" s="131"/>
      <c r="G150" s="131"/>
      <c r="H150" s="131"/>
      <c r="I150" s="131"/>
      <c r="J150" s="131"/>
      <c r="K150" s="131"/>
      <c r="L150" s="131"/>
      <c r="M150" s="131"/>
      <c r="N150" s="131"/>
      <c r="O150" s="131"/>
      <c r="P150" s="131"/>
      <c r="Q150" s="131"/>
      <c r="R150" s="131"/>
      <c r="S150" s="131"/>
      <c r="T150" s="131"/>
      <c r="U150" s="131"/>
      <c r="V150" s="131"/>
      <c r="W150" s="131"/>
      <c r="X150" s="131"/>
      <c r="Y150" s="131"/>
      <c r="Z150" s="131"/>
      <c r="AA150" s="131"/>
      <c r="AB150" s="131"/>
      <c r="AC150" s="131"/>
      <c r="AD150" s="131"/>
      <c r="AE150" s="131"/>
      <c r="AF150" s="131"/>
      <c r="AG150" s="131"/>
      <c r="AH150" s="131"/>
      <c r="AI150" s="131"/>
      <c r="AJ150" s="131"/>
      <c r="AK150" s="131"/>
      <c r="AL150" s="131"/>
      <c r="AM150" s="131"/>
      <c r="AN150" s="131"/>
      <c r="AO150" s="131"/>
    </row>
    <row r="151" ht="15.75" customHeight="1">
      <c r="A151" s="131"/>
      <c r="B151" s="131"/>
      <c r="C151" s="131"/>
      <c r="D151" s="131"/>
      <c r="E151" s="131"/>
      <c r="F151" s="131"/>
      <c r="G151" s="131"/>
      <c r="H151" s="131"/>
      <c r="I151" s="131"/>
      <c r="J151" s="131"/>
      <c r="K151" s="131"/>
      <c r="L151" s="131"/>
      <c r="M151" s="131"/>
      <c r="N151" s="131"/>
      <c r="O151" s="131"/>
      <c r="P151" s="131"/>
      <c r="Q151" s="131"/>
      <c r="R151" s="131"/>
      <c r="S151" s="131"/>
      <c r="T151" s="131"/>
      <c r="U151" s="131"/>
      <c r="V151" s="131"/>
      <c r="W151" s="131"/>
      <c r="X151" s="131"/>
      <c r="Y151" s="131"/>
      <c r="Z151" s="131"/>
      <c r="AA151" s="131"/>
      <c r="AB151" s="131"/>
      <c r="AC151" s="131"/>
      <c r="AD151" s="131"/>
      <c r="AE151" s="131"/>
      <c r="AF151" s="131"/>
      <c r="AG151" s="131"/>
      <c r="AH151" s="131"/>
      <c r="AI151" s="131"/>
      <c r="AJ151" s="131"/>
      <c r="AK151" s="131"/>
      <c r="AL151" s="131"/>
      <c r="AM151" s="131"/>
      <c r="AN151" s="131"/>
      <c r="AO151" s="131"/>
    </row>
    <row r="152" ht="15.75" customHeight="1">
      <c r="A152" s="131"/>
      <c r="B152" s="131"/>
      <c r="C152" s="131"/>
      <c r="D152" s="131"/>
      <c r="E152" s="131"/>
      <c r="F152" s="131"/>
      <c r="G152" s="131"/>
      <c r="H152" s="131"/>
      <c r="I152" s="131"/>
      <c r="J152" s="131"/>
      <c r="K152" s="131"/>
      <c r="L152" s="131"/>
      <c r="M152" s="131"/>
      <c r="N152" s="131"/>
      <c r="O152" s="131"/>
      <c r="P152" s="131"/>
      <c r="Q152" s="131"/>
      <c r="R152" s="131"/>
      <c r="S152" s="131"/>
      <c r="T152" s="131"/>
      <c r="U152" s="131"/>
      <c r="V152" s="131"/>
      <c r="W152" s="131"/>
      <c r="X152" s="131"/>
      <c r="Y152" s="131"/>
      <c r="Z152" s="131"/>
      <c r="AA152" s="131"/>
      <c r="AB152" s="131"/>
      <c r="AC152" s="131"/>
      <c r="AD152" s="131"/>
      <c r="AE152" s="131"/>
      <c r="AF152" s="131"/>
      <c r="AG152" s="131"/>
      <c r="AH152" s="131"/>
      <c r="AI152" s="131"/>
      <c r="AJ152" s="131"/>
      <c r="AK152" s="131"/>
      <c r="AL152" s="131"/>
      <c r="AM152" s="131"/>
      <c r="AN152" s="131"/>
      <c r="AO152" s="131"/>
    </row>
    <row r="153" ht="15.75" customHeight="1">
      <c r="A153" s="131"/>
      <c r="B153" s="131"/>
      <c r="C153" s="131"/>
      <c r="D153" s="131"/>
      <c r="E153" s="131"/>
      <c r="F153" s="131"/>
      <c r="G153" s="131"/>
      <c r="H153" s="131"/>
      <c r="I153" s="131"/>
      <c r="J153" s="131"/>
      <c r="K153" s="131"/>
      <c r="L153" s="131"/>
      <c r="M153" s="131"/>
      <c r="N153" s="131"/>
      <c r="O153" s="131"/>
      <c r="P153" s="131"/>
      <c r="Q153" s="131"/>
      <c r="R153" s="131"/>
      <c r="S153" s="131"/>
      <c r="T153" s="131"/>
      <c r="U153" s="131"/>
      <c r="V153" s="131"/>
      <c r="W153" s="131"/>
      <c r="X153" s="131"/>
      <c r="Y153" s="131"/>
      <c r="Z153" s="131"/>
      <c r="AA153" s="131"/>
      <c r="AB153" s="131"/>
      <c r="AC153" s="131"/>
      <c r="AD153" s="131"/>
      <c r="AE153" s="131"/>
      <c r="AF153" s="131"/>
      <c r="AG153" s="131"/>
      <c r="AH153" s="131"/>
      <c r="AI153" s="131"/>
      <c r="AJ153" s="131"/>
      <c r="AK153" s="131"/>
      <c r="AL153" s="131"/>
      <c r="AM153" s="131"/>
      <c r="AN153" s="131"/>
      <c r="AO153" s="131"/>
    </row>
    <row r="154" ht="15.75" customHeight="1">
      <c r="A154" s="131"/>
      <c r="B154" s="131"/>
      <c r="C154" s="131"/>
      <c r="D154" s="131"/>
      <c r="E154" s="131"/>
      <c r="F154" s="131"/>
      <c r="G154" s="131"/>
      <c r="H154" s="131"/>
      <c r="I154" s="131"/>
      <c r="J154" s="131"/>
      <c r="K154" s="131"/>
      <c r="L154" s="131"/>
      <c r="M154" s="131"/>
      <c r="N154" s="131"/>
      <c r="O154" s="131"/>
      <c r="P154" s="131"/>
      <c r="Q154" s="131"/>
      <c r="R154" s="131"/>
      <c r="S154" s="131"/>
      <c r="T154" s="131"/>
      <c r="U154" s="131"/>
      <c r="V154" s="131"/>
      <c r="W154" s="131"/>
      <c r="X154" s="131"/>
      <c r="Y154" s="131"/>
      <c r="Z154" s="131"/>
      <c r="AA154" s="131"/>
      <c r="AB154" s="131"/>
      <c r="AC154" s="131"/>
      <c r="AD154" s="131"/>
      <c r="AE154" s="131"/>
      <c r="AF154" s="131"/>
      <c r="AG154" s="131"/>
      <c r="AH154" s="131"/>
      <c r="AI154" s="131"/>
      <c r="AJ154" s="131"/>
      <c r="AK154" s="131"/>
      <c r="AL154" s="131"/>
      <c r="AM154" s="131"/>
      <c r="AN154" s="131"/>
      <c r="AO154" s="131"/>
    </row>
    <row r="155" ht="15.75" customHeight="1">
      <c r="A155" s="131"/>
      <c r="B155" s="131"/>
      <c r="C155" s="131"/>
      <c r="D155" s="131"/>
      <c r="E155" s="131"/>
      <c r="F155" s="131"/>
      <c r="G155" s="131"/>
      <c r="H155" s="131"/>
      <c r="I155" s="131"/>
      <c r="J155" s="131"/>
      <c r="K155" s="131"/>
      <c r="L155" s="131"/>
      <c r="M155" s="131"/>
      <c r="N155" s="131"/>
      <c r="O155" s="131"/>
      <c r="P155" s="131"/>
      <c r="Q155" s="131"/>
      <c r="R155" s="131"/>
      <c r="S155" s="131"/>
      <c r="T155" s="131"/>
      <c r="U155" s="131"/>
      <c r="V155" s="131"/>
      <c r="W155" s="131"/>
      <c r="X155" s="131"/>
      <c r="Y155" s="131"/>
      <c r="Z155" s="131"/>
      <c r="AA155" s="131"/>
      <c r="AB155" s="131"/>
      <c r="AC155" s="131"/>
      <c r="AD155" s="131"/>
      <c r="AE155" s="131"/>
      <c r="AF155" s="131"/>
      <c r="AG155" s="131"/>
      <c r="AH155" s="131"/>
      <c r="AI155" s="131"/>
      <c r="AJ155" s="131"/>
      <c r="AK155" s="131"/>
      <c r="AL155" s="131"/>
      <c r="AM155" s="131"/>
      <c r="AN155" s="131"/>
      <c r="AO155" s="131"/>
    </row>
    <row r="156" ht="15.75" customHeight="1">
      <c r="A156" s="131"/>
      <c r="B156" s="131"/>
      <c r="C156" s="131"/>
      <c r="D156" s="131"/>
      <c r="E156" s="131"/>
      <c r="F156" s="131"/>
      <c r="G156" s="131"/>
      <c r="H156" s="131"/>
      <c r="I156" s="131"/>
      <c r="J156" s="131"/>
      <c r="K156" s="131"/>
      <c r="L156" s="131"/>
      <c r="M156" s="131"/>
      <c r="N156" s="131"/>
      <c r="O156" s="131"/>
      <c r="P156" s="131"/>
      <c r="Q156" s="131"/>
      <c r="R156" s="131"/>
      <c r="S156" s="131"/>
      <c r="T156" s="131"/>
      <c r="U156" s="131"/>
      <c r="V156" s="131"/>
      <c r="W156" s="131"/>
      <c r="X156" s="131"/>
      <c r="Y156" s="131"/>
      <c r="Z156" s="131"/>
      <c r="AA156" s="131"/>
      <c r="AB156" s="131"/>
      <c r="AC156" s="131"/>
      <c r="AD156" s="131"/>
      <c r="AE156" s="131"/>
      <c r="AF156" s="131"/>
      <c r="AG156" s="131"/>
      <c r="AH156" s="131"/>
      <c r="AI156" s="131"/>
      <c r="AJ156" s="131"/>
      <c r="AK156" s="131"/>
      <c r="AL156" s="131"/>
      <c r="AM156" s="131"/>
      <c r="AN156" s="131"/>
      <c r="AO156" s="131"/>
    </row>
    <row r="157" ht="15.75" customHeight="1">
      <c r="A157" s="131"/>
      <c r="B157" s="131"/>
      <c r="C157" s="131"/>
      <c r="D157" s="131"/>
      <c r="E157" s="131"/>
      <c r="F157" s="131"/>
      <c r="G157" s="131"/>
      <c r="H157" s="131"/>
      <c r="I157" s="131"/>
      <c r="J157" s="131"/>
      <c r="K157" s="131"/>
      <c r="L157" s="131"/>
      <c r="M157" s="131"/>
      <c r="N157" s="131"/>
      <c r="O157" s="131"/>
      <c r="P157" s="131"/>
      <c r="Q157" s="131"/>
      <c r="R157" s="131"/>
      <c r="S157" s="131"/>
      <c r="T157" s="131"/>
      <c r="U157" s="131"/>
      <c r="V157" s="131"/>
      <c r="W157" s="131"/>
      <c r="X157" s="131"/>
      <c r="Y157" s="131"/>
      <c r="Z157" s="131"/>
      <c r="AA157" s="131"/>
      <c r="AB157" s="131"/>
      <c r="AC157" s="131"/>
      <c r="AD157" s="131"/>
      <c r="AE157" s="131"/>
      <c r="AF157" s="131"/>
      <c r="AG157" s="131"/>
      <c r="AH157" s="131"/>
      <c r="AI157" s="131"/>
      <c r="AJ157" s="131"/>
      <c r="AK157" s="131"/>
      <c r="AL157" s="131"/>
      <c r="AM157" s="131"/>
      <c r="AN157" s="131"/>
      <c r="AO157" s="131"/>
    </row>
    <row r="158" ht="15.75" customHeight="1">
      <c r="A158" s="131"/>
      <c r="B158" s="131"/>
      <c r="C158" s="131"/>
      <c r="D158" s="131"/>
      <c r="E158" s="131"/>
      <c r="F158" s="131"/>
      <c r="G158" s="131"/>
      <c r="H158" s="131"/>
      <c r="I158" s="131"/>
      <c r="J158" s="131"/>
      <c r="K158" s="131"/>
      <c r="L158" s="131"/>
      <c r="M158" s="131"/>
      <c r="N158" s="131"/>
      <c r="O158" s="131"/>
      <c r="P158" s="131"/>
      <c r="Q158" s="131"/>
      <c r="R158" s="131"/>
      <c r="S158" s="131"/>
      <c r="T158" s="131"/>
      <c r="U158" s="131"/>
      <c r="V158" s="131"/>
      <c r="W158" s="131"/>
      <c r="X158" s="131"/>
      <c r="Y158" s="131"/>
      <c r="Z158" s="131"/>
      <c r="AA158" s="131"/>
      <c r="AB158" s="131"/>
      <c r="AC158" s="131"/>
      <c r="AD158" s="131"/>
      <c r="AE158" s="131"/>
      <c r="AF158" s="131"/>
      <c r="AG158" s="131"/>
      <c r="AH158" s="131"/>
      <c r="AI158" s="131"/>
      <c r="AJ158" s="131"/>
      <c r="AK158" s="131"/>
      <c r="AL158" s="131"/>
      <c r="AM158" s="131"/>
      <c r="AN158" s="131"/>
      <c r="AO158" s="131"/>
    </row>
    <row r="159" ht="15.75" customHeight="1">
      <c r="A159" s="131"/>
      <c r="B159" s="131"/>
      <c r="C159" s="131"/>
      <c r="D159" s="131"/>
      <c r="E159" s="131"/>
      <c r="F159" s="131"/>
      <c r="G159" s="131"/>
      <c r="H159" s="131"/>
      <c r="I159" s="131"/>
      <c r="J159" s="131"/>
      <c r="K159" s="131"/>
      <c r="L159" s="131"/>
      <c r="M159" s="131"/>
      <c r="N159" s="131"/>
      <c r="O159" s="131"/>
      <c r="P159" s="131"/>
      <c r="Q159" s="131"/>
      <c r="R159" s="131"/>
      <c r="S159" s="131"/>
      <c r="T159" s="131"/>
      <c r="U159" s="131"/>
      <c r="V159" s="131"/>
      <c r="W159" s="131"/>
      <c r="X159" s="131"/>
      <c r="Y159" s="131"/>
      <c r="Z159" s="131"/>
      <c r="AA159" s="131"/>
      <c r="AB159" s="131"/>
      <c r="AC159" s="131"/>
      <c r="AD159" s="131"/>
      <c r="AE159" s="131"/>
      <c r="AF159" s="131"/>
      <c r="AG159" s="131"/>
      <c r="AH159" s="131"/>
      <c r="AI159" s="131"/>
      <c r="AJ159" s="131"/>
      <c r="AK159" s="131"/>
      <c r="AL159" s="131"/>
      <c r="AM159" s="131"/>
      <c r="AN159" s="131"/>
      <c r="AO159" s="131"/>
    </row>
    <row r="160" ht="15.75" customHeight="1">
      <c r="A160" s="131"/>
      <c r="B160" s="131"/>
      <c r="C160" s="131"/>
      <c r="D160" s="131"/>
      <c r="E160" s="131"/>
      <c r="F160" s="131"/>
      <c r="G160" s="131"/>
      <c r="H160" s="131"/>
      <c r="I160" s="131"/>
      <c r="J160" s="131"/>
      <c r="K160" s="131"/>
      <c r="L160" s="131"/>
      <c r="M160" s="131"/>
      <c r="N160" s="131"/>
      <c r="O160" s="131"/>
      <c r="P160" s="131"/>
      <c r="Q160" s="131"/>
      <c r="R160" s="131"/>
      <c r="S160" s="131"/>
      <c r="T160" s="131"/>
      <c r="U160" s="131"/>
      <c r="V160" s="131"/>
      <c r="W160" s="131"/>
      <c r="X160" s="131"/>
      <c r="Y160" s="131"/>
      <c r="Z160" s="131"/>
      <c r="AA160" s="131"/>
      <c r="AB160" s="131"/>
      <c r="AC160" s="131"/>
      <c r="AD160" s="131"/>
      <c r="AE160" s="131"/>
      <c r="AF160" s="131"/>
      <c r="AG160" s="131"/>
      <c r="AH160" s="131"/>
      <c r="AI160" s="131"/>
      <c r="AJ160" s="131"/>
      <c r="AK160" s="131"/>
      <c r="AL160" s="131"/>
      <c r="AM160" s="131"/>
      <c r="AN160" s="131"/>
      <c r="AO160" s="131"/>
    </row>
    <row r="161" ht="15.75" customHeight="1">
      <c r="A161" s="131"/>
      <c r="B161" s="131"/>
      <c r="C161" s="131"/>
      <c r="D161" s="131"/>
      <c r="E161" s="131"/>
      <c r="F161" s="131"/>
      <c r="G161" s="131"/>
      <c r="H161" s="131"/>
      <c r="I161" s="131"/>
      <c r="J161" s="131"/>
      <c r="K161" s="131"/>
      <c r="L161" s="131"/>
      <c r="M161" s="131"/>
      <c r="N161" s="131"/>
      <c r="O161" s="131"/>
      <c r="P161" s="131"/>
      <c r="Q161" s="131"/>
      <c r="R161" s="131"/>
      <c r="S161" s="131"/>
      <c r="T161" s="131"/>
      <c r="U161" s="131"/>
      <c r="V161" s="131"/>
      <c r="W161" s="131"/>
      <c r="X161" s="131"/>
      <c r="Y161" s="131"/>
      <c r="Z161" s="131"/>
      <c r="AA161" s="131"/>
      <c r="AB161" s="131"/>
      <c r="AC161" s="131"/>
      <c r="AD161" s="131"/>
      <c r="AE161" s="131"/>
      <c r="AF161" s="131"/>
      <c r="AG161" s="131"/>
      <c r="AH161" s="131"/>
      <c r="AI161" s="131"/>
      <c r="AJ161" s="131"/>
      <c r="AK161" s="131"/>
      <c r="AL161" s="131"/>
      <c r="AM161" s="131"/>
      <c r="AN161" s="131"/>
      <c r="AO161" s="131"/>
    </row>
    <row r="162" ht="15.75" customHeight="1">
      <c r="A162" s="131"/>
      <c r="B162" s="131"/>
      <c r="C162" s="131"/>
      <c r="D162" s="131"/>
      <c r="E162" s="131"/>
      <c r="F162" s="131"/>
      <c r="G162" s="131"/>
      <c r="H162" s="131"/>
      <c r="I162" s="131"/>
      <c r="J162" s="131"/>
      <c r="K162" s="131"/>
      <c r="L162" s="131"/>
      <c r="M162" s="131"/>
      <c r="N162" s="131"/>
      <c r="O162" s="131"/>
      <c r="P162" s="131"/>
      <c r="Q162" s="131"/>
      <c r="R162" s="131"/>
      <c r="S162" s="131"/>
      <c r="T162" s="131"/>
      <c r="U162" s="131"/>
      <c r="V162" s="131"/>
      <c r="W162" s="131"/>
      <c r="X162" s="131"/>
      <c r="Y162" s="131"/>
      <c r="Z162" s="131"/>
      <c r="AA162" s="131"/>
      <c r="AB162" s="131"/>
      <c r="AC162" s="131"/>
      <c r="AD162" s="131"/>
      <c r="AE162" s="131"/>
      <c r="AF162" s="131"/>
      <c r="AG162" s="131"/>
      <c r="AH162" s="131"/>
      <c r="AI162" s="131"/>
      <c r="AJ162" s="131"/>
      <c r="AK162" s="131"/>
      <c r="AL162" s="131"/>
      <c r="AM162" s="131"/>
      <c r="AN162" s="131"/>
      <c r="AO162" s="131"/>
    </row>
    <row r="163" ht="15.75" customHeight="1">
      <c r="A163" s="131"/>
      <c r="B163" s="131"/>
      <c r="C163" s="131"/>
      <c r="D163" s="131"/>
      <c r="E163" s="131"/>
      <c r="F163" s="131"/>
      <c r="G163" s="131"/>
      <c r="H163" s="131"/>
      <c r="I163" s="131"/>
      <c r="J163" s="131"/>
      <c r="K163" s="131"/>
      <c r="L163" s="131"/>
      <c r="M163" s="131"/>
      <c r="N163" s="131"/>
      <c r="O163" s="131"/>
      <c r="P163" s="131"/>
      <c r="Q163" s="131"/>
      <c r="R163" s="131"/>
      <c r="S163" s="131"/>
      <c r="T163" s="131"/>
      <c r="U163" s="131"/>
      <c r="V163" s="131"/>
      <c r="W163" s="131"/>
      <c r="X163" s="131"/>
      <c r="Y163" s="131"/>
      <c r="Z163" s="131"/>
      <c r="AA163" s="131"/>
      <c r="AB163" s="131"/>
      <c r="AC163" s="131"/>
      <c r="AD163" s="131"/>
      <c r="AE163" s="131"/>
      <c r="AF163" s="131"/>
      <c r="AG163" s="131"/>
      <c r="AH163" s="131"/>
      <c r="AI163" s="131"/>
      <c r="AJ163" s="131"/>
      <c r="AK163" s="131"/>
      <c r="AL163" s="131"/>
      <c r="AM163" s="131"/>
      <c r="AN163" s="131"/>
      <c r="AO163" s="131"/>
    </row>
    <row r="164" ht="15.75" customHeight="1">
      <c r="A164" s="131"/>
      <c r="B164" s="131"/>
      <c r="C164" s="131"/>
      <c r="D164" s="131"/>
      <c r="E164" s="131"/>
      <c r="F164" s="131"/>
      <c r="G164" s="131"/>
      <c r="H164" s="131"/>
      <c r="I164" s="131"/>
      <c r="J164" s="131"/>
      <c r="K164" s="131"/>
      <c r="L164" s="131"/>
      <c r="M164" s="131"/>
      <c r="N164" s="131"/>
      <c r="O164" s="131"/>
      <c r="P164" s="131"/>
      <c r="Q164" s="131"/>
      <c r="R164" s="131"/>
      <c r="S164" s="131"/>
      <c r="T164" s="131"/>
      <c r="U164" s="131"/>
      <c r="V164" s="131"/>
      <c r="W164" s="131"/>
      <c r="X164" s="131"/>
      <c r="Y164" s="131"/>
      <c r="Z164" s="131"/>
      <c r="AA164" s="131"/>
      <c r="AB164" s="131"/>
      <c r="AC164" s="131"/>
      <c r="AD164" s="131"/>
      <c r="AE164" s="131"/>
      <c r="AF164" s="131"/>
      <c r="AG164" s="131"/>
      <c r="AH164" s="131"/>
      <c r="AI164" s="131"/>
      <c r="AJ164" s="131"/>
      <c r="AK164" s="131"/>
      <c r="AL164" s="131"/>
      <c r="AM164" s="131"/>
      <c r="AN164" s="131"/>
      <c r="AO164" s="131"/>
    </row>
    <row r="165" ht="15.75" customHeight="1">
      <c r="A165" s="131"/>
      <c r="B165" s="131"/>
      <c r="C165" s="131"/>
      <c r="D165" s="131"/>
      <c r="E165" s="131"/>
      <c r="F165" s="131"/>
      <c r="G165" s="131"/>
      <c r="H165" s="131"/>
      <c r="I165" s="131"/>
      <c r="J165" s="131"/>
      <c r="K165" s="131"/>
      <c r="L165" s="131"/>
      <c r="M165" s="131"/>
      <c r="N165" s="131"/>
      <c r="O165" s="131"/>
      <c r="P165" s="131"/>
      <c r="Q165" s="131"/>
      <c r="R165" s="131"/>
      <c r="S165" s="131"/>
      <c r="T165" s="131"/>
      <c r="U165" s="131"/>
      <c r="V165" s="131"/>
      <c r="W165" s="131"/>
      <c r="X165" s="131"/>
      <c r="Y165" s="131"/>
      <c r="Z165" s="131"/>
      <c r="AA165" s="131"/>
      <c r="AB165" s="131"/>
      <c r="AC165" s="131"/>
      <c r="AD165" s="131"/>
      <c r="AE165" s="131"/>
      <c r="AF165" s="131"/>
      <c r="AG165" s="131"/>
      <c r="AH165" s="131"/>
      <c r="AI165" s="131"/>
      <c r="AJ165" s="131"/>
      <c r="AK165" s="131"/>
      <c r="AL165" s="131"/>
      <c r="AM165" s="131"/>
      <c r="AN165" s="131"/>
      <c r="AO165" s="131"/>
    </row>
    <row r="166" ht="15.75" customHeight="1">
      <c r="A166" s="131"/>
      <c r="B166" s="131"/>
      <c r="C166" s="131"/>
      <c r="D166" s="131"/>
      <c r="E166" s="131"/>
      <c r="F166" s="131"/>
      <c r="G166" s="131"/>
      <c r="H166" s="131"/>
      <c r="I166" s="131"/>
      <c r="J166" s="131"/>
      <c r="K166" s="131"/>
      <c r="L166" s="131"/>
      <c r="M166" s="131"/>
      <c r="N166" s="131"/>
      <c r="O166" s="131"/>
      <c r="P166" s="131"/>
      <c r="Q166" s="131"/>
      <c r="R166" s="131"/>
      <c r="S166" s="131"/>
      <c r="T166" s="131"/>
      <c r="U166" s="131"/>
      <c r="V166" s="131"/>
      <c r="W166" s="131"/>
      <c r="X166" s="131"/>
      <c r="Y166" s="131"/>
      <c r="Z166" s="131"/>
      <c r="AA166" s="131"/>
      <c r="AB166" s="131"/>
      <c r="AC166" s="131"/>
      <c r="AD166" s="131"/>
      <c r="AE166" s="131"/>
      <c r="AF166" s="131"/>
      <c r="AG166" s="131"/>
      <c r="AH166" s="131"/>
      <c r="AI166" s="131"/>
      <c r="AJ166" s="131"/>
      <c r="AK166" s="131"/>
      <c r="AL166" s="131"/>
      <c r="AM166" s="131"/>
      <c r="AN166" s="131"/>
      <c r="AO166" s="131"/>
    </row>
    <row r="167" ht="15.75" customHeight="1">
      <c r="A167" s="131"/>
      <c r="B167" s="131"/>
      <c r="C167" s="131"/>
      <c r="D167" s="131"/>
      <c r="E167" s="131"/>
      <c r="F167" s="131"/>
      <c r="G167" s="131"/>
      <c r="H167" s="131"/>
      <c r="I167" s="131"/>
      <c r="J167" s="131"/>
      <c r="K167" s="131"/>
      <c r="L167" s="131"/>
      <c r="M167" s="131"/>
      <c r="N167" s="131"/>
      <c r="O167" s="131"/>
      <c r="P167" s="131"/>
      <c r="Q167" s="131"/>
      <c r="R167" s="131"/>
      <c r="S167" s="131"/>
      <c r="T167" s="131"/>
      <c r="U167" s="131"/>
      <c r="V167" s="131"/>
      <c r="W167" s="131"/>
      <c r="X167" s="131"/>
      <c r="Y167" s="131"/>
      <c r="Z167" s="131"/>
      <c r="AA167" s="131"/>
      <c r="AB167" s="131"/>
      <c r="AC167" s="131"/>
      <c r="AD167" s="131"/>
      <c r="AE167" s="131"/>
      <c r="AF167" s="131"/>
      <c r="AG167" s="131"/>
      <c r="AH167" s="131"/>
      <c r="AI167" s="131"/>
      <c r="AJ167" s="131"/>
      <c r="AK167" s="131"/>
      <c r="AL167" s="131"/>
      <c r="AM167" s="131"/>
      <c r="AN167" s="131"/>
      <c r="AO167" s="131"/>
    </row>
    <row r="168" ht="15.75" customHeight="1">
      <c r="A168" s="131"/>
      <c r="B168" s="131"/>
      <c r="C168" s="131"/>
      <c r="D168" s="131"/>
      <c r="E168" s="131"/>
      <c r="F168" s="131"/>
      <c r="G168" s="131"/>
      <c r="H168" s="131"/>
      <c r="I168" s="131"/>
      <c r="J168" s="131"/>
      <c r="K168" s="131"/>
      <c r="L168" s="131"/>
      <c r="M168" s="131"/>
      <c r="N168" s="131"/>
      <c r="O168" s="131"/>
      <c r="P168" s="131"/>
      <c r="Q168" s="131"/>
      <c r="R168" s="131"/>
      <c r="S168" s="131"/>
      <c r="T168" s="131"/>
      <c r="U168" s="131"/>
      <c r="V168" s="131"/>
      <c r="W168" s="131"/>
      <c r="X168" s="131"/>
      <c r="Y168" s="131"/>
      <c r="Z168" s="131"/>
      <c r="AA168" s="131"/>
      <c r="AB168" s="131"/>
      <c r="AC168" s="131"/>
      <c r="AD168" s="131"/>
      <c r="AE168" s="131"/>
      <c r="AF168" s="131"/>
      <c r="AG168" s="131"/>
      <c r="AH168" s="131"/>
      <c r="AI168" s="131"/>
      <c r="AJ168" s="131"/>
      <c r="AK168" s="131"/>
      <c r="AL168" s="131"/>
      <c r="AM168" s="131"/>
      <c r="AN168" s="131"/>
      <c r="AO168" s="131"/>
    </row>
    <row r="169" ht="15.75" customHeight="1">
      <c r="A169" s="131"/>
      <c r="B169" s="131"/>
      <c r="C169" s="131"/>
      <c r="D169" s="131"/>
      <c r="E169" s="131"/>
      <c r="F169" s="131"/>
      <c r="G169" s="131"/>
      <c r="H169" s="131"/>
      <c r="I169" s="131"/>
      <c r="J169" s="131"/>
      <c r="K169" s="131"/>
      <c r="L169" s="131"/>
      <c r="M169" s="131"/>
      <c r="N169" s="131"/>
      <c r="O169" s="131"/>
      <c r="P169" s="131"/>
      <c r="Q169" s="131"/>
      <c r="R169" s="131"/>
      <c r="S169" s="131"/>
      <c r="T169" s="131"/>
      <c r="U169" s="131"/>
      <c r="V169" s="131"/>
      <c r="W169" s="131"/>
      <c r="X169" s="131"/>
      <c r="Y169" s="131"/>
      <c r="Z169" s="131"/>
      <c r="AA169" s="131"/>
      <c r="AB169" s="131"/>
      <c r="AC169" s="131"/>
      <c r="AD169" s="131"/>
      <c r="AE169" s="131"/>
      <c r="AF169" s="131"/>
      <c r="AG169" s="131"/>
      <c r="AH169" s="131"/>
      <c r="AI169" s="131"/>
      <c r="AJ169" s="131"/>
      <c r="AK169" s="131"/>
      <c r="AL169" s="131"/>
      <c r="AM169" s="131"/>
      <c r="AN169" s="131"/>
      <c r="AO169" s="131"/>
    </row>
    <row r="170" ht="15.75" customHeight="1">
      <c r="A170" s="131"/>
      <c r="B170" s="131"/>
      <c r="C170" s="131"/>
      <c r="D170" s="131"/>
      <c r="E170" s="131"/>
      <c r="F170" s="131"/>
      <c r="G170" s="131"/>
      <c r="H170" s="131"/>
      <c r="I170" s="131"/>
      <c r="J170" s="131"/>
      <c r="K170" s="131"/>
      <c r="L170" s="131"/>
      <c r="M170" s="131"/>
      <c r="N170" s="131"/>
      <c r="O170" s="131"/>
      <c r="P170" s="131"/>
      <c r="Q170" s="131"/>
      <c r="R170" s="131"/>
      <c r="S170" s="131"/>
      <c r="T170" s="131"/>
      <c r="U170" s="131"/>
      <c r="V170" s="131"/>
      <c r="W170" s="131"/>
      <c r="X170" s="131"/>
      <c r="Y170" s="131"/>
      <c r="Z170" s="131"/>
      <c r="AA170" s="131"/>
      <c r="AB170" s="131"/>
      <c r="AC170" s="131"/>
      <c r="AD170" s="131"/>
      <c r="AE170" s="131"/>
      <c r="AF170" s="131"/>
      <c r="AG170" s="131"/>
      <c r="AH170" s="131"/>
      <c r="AI170" s="131"/>
      <c r="AJ170" s="131"/>
      <c r="AK170" s="131"/>
      <c r="AL170" s="131"/>
      <c r="AM170" s="131"/>
      <c r="AN170" s="131"/>
      <c r="AO170" s="131"/>
    </row>
    <row r="171" ht="15.75" customHeight="1">
      <c r="A171" s="131"/>
      <c r="B171" s="131"/>
      <c r="C171" s="131"/>
      <c r="D171" s="131"/>
      <c r="E171" s="131"/>
      <c r="F171" s="131"/>
      <c r="G171" s="131"/>
      <c r="H171" s="131"/>
      <c r="I171" s="131"/>
      <c r="J171" s="131"/>
      <c r="K171" s="131"/>
      <c r="L171" s="131"/>
      <c r="M171" s="131"/>
      <c r="N171" s="131"/>
      <c r="O171" s="131"/>
      <c r="P171" s="131"/>
      <c r="Q171" s="131"/>
      <c r="R171" s="131"/>
      <c r="S171" s="131"/>
      <c r="T171" s="131"/>
      <c r="U171" s="131"/>
      <c r="V171" s="131"/>
      <c r="W171" s="131"/>
      <c r="X171" s="131"/>
      <c r="Y171" s="131"/>
      <c r="Z171" s="131"/>
      <c r="AA171" s="131"/>
      <c r="AB171" s="131"/>
      <c r="AC171" s="131"/>
      <c r="AD171" s="131"/>
      <c r="AE171" s="131"/>
      <c r="AF171" s="131"/>
      <c r="AG171" s="131"/>
      <c r="AH171" s="131"/>
      <c r="AI171" s="131"/>
      <c r="AJ171" s="131"/>
      <c r="AK171" s="131"/>
      <c r="AL171" s="131"/>
      <c r="AM171" s="131"/>
      <c r="AN171" s="131"/>
      <c r="AO171" s="131"/>
    </row>
    <row r="172" ht="15.75" customHeight="1">
      <c r="A172" s="131"/>
      <c r="B172" s="131"/>
      <c r="C172" s="131"/>
      <c r="D172" s="131"/>
      <c r="E172" s="131"/>
      <c r="F172" s="131"/>
      <c r="G172" s="131"/>
      <c r="H172" s="131"/>
      <c r="I172" s="131"/>
      <c r="J172" s="131"/>
      <c r="K172" s="131"/>
      <c r="L172" s="131"/>
      <c r="M172" s="131"/>
      <c r="N172" s="131"/>
      <c r="O172" s="131"/>
      <c r="P172" s="131"/>
      <c r="Q172" s="131"/>
      <c r="R172" s="131"/>
      <c r="S172" s="131"/>
      <c r="T172" s="131"/>
      <c r="U172" s="131"/>
      <c r="V172" s="131"/>
      <c r="W172" s="131"/>
      <c r="X172" s="131"/>
      <c r="Y172" s="131"/>
      <c r="Z172" s="131"/>
      <c r="AA172" s="131"/>
      <c r="AB172" s="131"/>
      <c r="AC172" s="131"/>
      <c r="AD172" s="131"/>
      <c r="AE172" s="131"/>
      <c r="AF172" s="131"/>
      <c r="AG172" s="131"/>
      <c r="AH172" s="131"/>
      <c r="AI172" s="131"/>
      <c r="AJ172" s="131"/>
      <c r="AK172" s="131"/>
      <c r="AL172" s="131"/>
      <c r="AM172" s="131"/>
      <c r="AN172" s="131"/>
      <c r="AO172" s="131"/>
    </row>
    <row r="173" ht="15.75" customHeight="1">
      <c r="A173" s="131"/>
      <c r="B173" s="131"/>
      <c r="C173" s="131"/>
      <c r="D173" s="131"/>
      <c r="E173" s="131"/>
      <c r="F173" s="131"/>
      <c r="G173" s="131"/>
      <c r="H173" s="131"/>
      <c r="I173" s="131"/>
      <c r="J173" s="131"/>
      <c r="K173" s="131"/>
      <c r="L173" s="131"/>
      <c r="M173" s="131"/>
      <c r="N173" s="131"/>
      <c r="O173" s="131"/>
      <c r="P173" s="131"/>
      <c r="Q173" s="131"/>
      <c r="R173" s="131"/>
      <c r="S173" s="131"/>
      <c r="T173" s="131"/>
      <c r="U173" s="131"/>
      <c r="V173" s="131"/>
      <c r="W173" s="131"/>
      <c r="X173" s="131"/>
      <c r="Y173" s="131"/>
      <c r="Z173" s="131"/>
      <c r="AA173" s="131"/>
      <c r="AB173" s="131"/>
      <c r="AC173" s="131"/>
      <c r="AD173" s="131"/>
      <c r="AE173" s="131"/>
      <c r="AF173" s="131"/>
      <c r="AG173" s="131"/>
      <c r="AH173" s="131"/>
      <c r="AI173" s="131"/>
      <c r="AJ173" s="131"/>
      <c r="AK173" s="131"/>
      <c r="AL173" s="131"/>
      <c r="AM173" s="131"/>
      <c r="AN173" s="131"/>
      <c r="AO173" s="131"/>
    </row>
    <row r="174" ht="15.75" customHeight="1">
      <c r="A174" s="131"/>
      <c r="B174" s="131"/>
      <c r="C174" s="131"/>
      <c r="D174" s="131"/>
      <c r="E174" s="131"/>
      <c r="F174" s="131"/>
      <c r="G174" s="131"/>
      <c r="H174" s="131"/>
      <c r="I174" s="131"/>
      <c r="J174" s="131"/>
      <c r="K174" s="131"/>
      <c r="L174" s="131"/>
      <c r="M174" s="131"/>
      <c r="N174" s="131"/>
      <c r="O174" s="131"/>
      <c r="P174" s="131"/>
      <c r="Q174" s="131"/>
      <c r="R174" s="131"/>
      <c r="S174" s="131"/>
      <c r="T174" s="131"/>
      <c r="U174" s="131"/>
      <c r="V174" s="131"/>
      <c r="W174" s="131"/>
      <c r="X174" s="131"/>
      <c r="Y174" s="131"/>
      <c r="Z174" s="131"/>
      <c r="AA174" s="131"/>
      <c r="AB174" s="131"/>
      <c r="AC174" s="131"/>
      <c r="AD174" s="131"/>
      <c r="AE174" s="131"/>
      <c r="AF174" s="131"/>
      <c r="AG174" s="131"/>
      <c r="AH174" s="131"/>
      <c r="AI174" s="131"/>
      <c r="AJ174" s="131"/>
      <c r="AK174" s="131"/>
      <c r="AL174" s="131"/>
      <c r="AM174" s="131"/>
      <c r="AN174" s="131"/>
      <c r="AO174" s="131"/>
    </row>
    <row r="175" ht="15.75" customHeight="1">
      <c r="A175" s="131"/>
      <c r="B175" s="131"/>
      <c r="C175" s="131"/>
      <c r="D175" s="131"/>
      <c r="E175" s="131"/>
      <c r="F175" s="131"/>
      <c r="G175" s="131"/>
      <c r="H175" s="131"/>
      <c r="I175" s="131"/>
      <c r="J175" s="131"/>
      <c r="K175" s="131"/>
      <c r="L175" s="131"/>
      <c r="M175" s="131"/>
      <c r="N175" s="131"/>
      <c r="O175" s="131"/>
      <c r="P175" s="131"/>
      <c r="Q175" s="131"/>
      <c r="R175" s="131"/>
      <c r="S175" s="131"/>
      <c r="T175" s="131"/>
      <c r="U175" s="131"/>
      <c r="V175" s="131"/>
      <c r="W175" s="131"/>
      <c r="X175" s="131"/>
      <c r="Y175" s="131"/>
      <c r="Z175" s="131"/>
      <c r="AA175" s="131"/>
      <c r="AB175" s="131"/>
      <c r="AC175" s="131"/>
      <c r="AD175" s="131"/>
      <c r="AE175" s="131"/>
      <c r="AF175" s="131"/>
      <c r="AG175" s="131"/>
      <c r="AH175" s="131"/>
      <c r="AI175" s="131"/>
      <c r="AJ175" s="131"/>
      <c r="AK175" s="131"/>
      <c r="AL175" s="131"/>
      <c r="AM175" s="131"/>
      <c r="AN175" s="131"/>
      <c r="AO175" s="131"/>
    </row>
    <row r="176" ht="15.75" customHeight="1">
      <c r="A176" s="131"/>
      <c r="B176" s="131"/>
      <c r="C176" s="131"/>
      <c r="D176" s="131"/>
      <c r="E176" s="131"/>
      <c r="F176" s="131"/>
      <c r="G176" s="131"/>
      <c r="H176" s="131"/>
      <c r="I176" s="131"/>
      <c r="J176" s="131"/>
      <c r="K176" s="131"/>
      <c r="L176" s="131"/>
      <c r="M176" s="131"/>
      <c r="N176" s="131"/>
      <c r="O176" s="131"/>
      <c r="P176" s="131"/>
      <c r="Q176" s="131"/>
      <c r="R176" s="131"/>
      <c r="S176" s="131"/>
      <c r="T176" s="131"/>
      <c r="U176" s="131"/>
      <c r="V176" s="131"/>
      <c r="W176" s="131"/>
      <c r="X176" s="131"/>
      <c r="Y176" s="131"/>
      <c r="Z176" s="131"/>
      <c r="AA176" s="131"/>
      <c r="AB176" s="131"/>
      <c r="AC176" s="131"/>
      <c r="AD176" s="131"/>
      <c r="AE176" s="131"/>
      <c r="AF176" s="131"/>
      <c r="AG176" s="131"/>
      <c r="AH176" s="131"/>
      <c r="AI176" s="131"/>
      <c r="AJ176" s="131"/>
      <c r="AK176" s="131"/>
      <c r="AL176" s="131"/>
      <c r="AM176" s="131"/>
      <c r="AN176" s="131"/>
      <c r="AO176" s="131"/>
    </row>
    <row r="177" ht="15.75" customHeight="1">
      <c r="A177" s="131"/>
      <c r="B177" s="131"/>
      <c r="C177" s="131"/>
      <c r="D177" s="131"/>
      <c r="E177" s="131"/>
      <c r="F177" s="131"/>
      <c r="G177" s="131"/>
      <c r="H177" s="131"/>
      <c r="I177" s="131"/>
      <c r="J177" s="131"/>
      <c r="K177" s="131"/>
      <c r="L177" s="131"/>
      <c r="M177" s="131"/>
      <c r="N177" s="131"/>
      <c r="O177" s="131"/>
      <c r="P177" s="131"/>
      <c r="Q177" s="131"/>
      <c r="R177" s="131"/>
      <c r="S177" s="131"/>
      <c r="T177" s="131"/>
      <c r="U177" s="131"/>
      <c r="V177" s="131"/>
      <c r="W177" s="131"/>
      <c r="X177" s="131"/>
      <c r="Y177" s="131"/>
      <c r="Z177" s="131"/>
      <c r="AA177" s="131"/>
      <c r="AB177" s="131"/>
      <c r="AC177" s="131"/>
      <c r="AD177" s="131"/>
      <c r="AE177" s="131"/>
      <c r="AF177" s="131"/>
      <c r="AG177" s="131"/>
      <c r="AH177" s="131"/>
      <c r="AI177" s="131"/>
      <c r="AJ177" s="131"/>
      <c r="AK177" s="131"/>
      <c r="AL177" s="131"/>
      <c r="AM177" s="131"/>
      <c r="AN177" s="131"/>
      <c r="AO177" s="131"/>
    </row>
    <row r="178" ht="15.75" customHeight="1">
      <c r="A178" s="131"/>
      <c r="B178" s="131"/>
      <c r="C178" s="131"/>
      <c r="D178" s="131"/>
      <c r="E178" s="131"/>
      <c r="F178" s="131"/>
      <c r="G178" s="131"/>
      <c r="H178" s="131"/>
      <c r="I178" s="131"/>
      <c r="J178" s="131"/>
      <c r="K178" s="131"/>
      <c r="L178" s="131"/>
      <c r="M178" s="131"/>
      <c r="N178" s="131"/>
      <c r="O178" s="131"/>
      <c r="P178" s="131"/>
      <c r="Q178" s="131"/>
      <c r="R178" s="131"/>
      <c r="S178" s="131"/>
      <c r="T178" s="131"/>
      <c r="U178" s="131"/>
      <c r="V178" s="131"/>
      <c r="W178" s="131"/>
      <c r="X178" s="131"/>
      <c r="Y178" s="131"/>
      <c r="Z178" s="131"/>
      <c r="AA178" s="131"/>
      <c r="AB178" s="131"/>
      <c r="AC178" s="131"/>
      <c r="AD178" s="131"/>
      <c r="AE178" s="131"/>
      <c r="AF178" s="131"/>
      <c r="AG178" s="131"/>
      <c r="AH178" s="131"/>
      <c r="AI178" s="131"/>
      <c r="AJ178" s="131"/>
      <c r="AK178" s="131"/>
      <c r="AL178" s="131"/>
      <c r="AM178" s="131"/>
      <c r="AN178" s="131"/>
      <c r="AO178" s="131"/>
    </row>
    <row r="179" ht="15.75" customHeight="1">
      <c r="A179" s="131"/>
      <c r="B179" s="131"/>
      <c r="C179" s="131"/>
      <c r="D179" s="131"/>
      <c r="E179" s="131"/>
      <c r="F179" s="131"/>
      <c r="G179" s="131"/>
      <c r="H179" s="131"/>
      <c r="I179" s="131"/>
      <c r="J179" s="131"/>
      <c r="K179" s="131"/>
      <c r="L179" s="131"/>
      <c r="M179" s="131"/>
      <c r="N179" s="131"/>
      <c r="O179" s="131"/>
      <c r="P179" s="131"/>
      <c r="Q179" s="131"/>
      <c r="R179" s="131"/>
      <c r="S179" s="131"/>
      <c r="T179" s="131"/>
      <c r="U179" s="131"/>
      <c r="V179" s="131"/>
      <c r="W179" s="131"/>
      <c r="X179" s="131"/>
      <c r="Y179" s="131"/>
      <c r="Z179" s="131"/>
      <c r="AA179" s="131"/>
      <c r="AB179" s="131"/>
      <c r="AC179" s="131"/>
      <c r="AD179" s="131"/>
      <c r="AE179" s="131"/>
      <c r="AF179" s="131"/>
      <c r="AG179" s="131"/>
      <c r="AH179" s="131"/>
      <c r="AI179" s="131"/>
      <c r="AJ179" s="131"/>
      <c r="AK179" s="131"/>
      <c r="AL179" s="131"/>
      <c r="AM179" s="131"/>
      <c r="AN179" s="131"/>
      <c r="AO179" s="131"/>
    </row>
    <row r="180" ht="15.75" customHeight="1">
      <c r="A180" s="131"/>
      <c r="B180" s="131"/>
      <c r="C180" s="131"/>
      <c r="D180" s="131"/>
      <c r="E180" s="131"/>
      <c r="F180" s="131"/>
      <c r="G180" s="131"/>
      <c r="H180" s="131"/>
      <c r="I180" s="131"/>
      <c r="J180" s="131"/>
      <c r="K180" s="131"/>
      <c r="L180" s="131"/>
      <c r="M180" s="131"/>
      <c r="N180" s="131"/>
      <c r="O180" s="131"/>
      <c r="P180" s="131"/>
      <c r="Q180" s="131"/>
      <c r="R180" s="131"/>
      <c r="S180" s="131"/>
      <c r="T180" s="131"/>
      <c r="U180" s="131"/>
      <c r="V180" s="131"/>
      <c r="W180" s="131"/>
      <c r="X180" s="131"/>
      <c r="Y180" s="131"/>
      <c r="Z180" s="131"/>
      <c r="AA180" s="131"/>
      <c r="AB180" s="131"/>
      <c r="AC180" s="131"/>
      <c r="AD180" s="131"/>
      <c r="AE180" s="131"/>
      <c r="AF180" s="131"/>
      <c r="AG180" s="131"/>
      <c r="AH180" s="131"/>
      <c r="AI180" s="131"/>
      <c r="AJ180" s="131"/>
      <c r="AK180" s="131"/>
      <c r="AL180" s="131"/>
      <c r="AM180" s="131"/>
      <c r="AN180" s="131"/>
      <c r="AO180" s="131"/>
    </row>
    <row r="181" ht="15.75" customHeight="1">
      <c r="A181" s="131"/>
      <c r="B181" s="131"/>
      <c r="C181" s="131"/>
      <c r="D181" s="131"/>
      <c r="E181" s="131"/>
      <c r="F181" s="131"/>
      <c r="G181" s="131"/>
      <c r="H181" s="131"/>
      <c r="I181" s="131"/>
      <c r="J181" s="131"/>
      <c r="K181" s="131"/>
      <c r="L181" s="131"/>
      <c r="M181" s="131"/>
      <c r="N181" s="131"/>
      <c r="O181" s="131"/>
      <c r="P181" s="131"/>
      <c r="Q181" s="131"/>
      <c r="R181" s="131"/>
      <c r="S181" s="131"/>
      <c r="T181" s="131"/>
      <c r="U181" s="131"/>
      <c r="V181" s="131"/>
      <c r="W181" s="131"/>
      <c r="X181" s="131"/>
      <c r="Y181" s="131"/>
      <c r="Z181" s="131"/>
      <c r="AA181" s="131"/>
      <c r="AB181" s="131"/>
      <c r="AC181" s="131"/>
      <c r="AD181" s="131"/>
      <c r="AE181" s="131"/>
      <c r="AF181" s="131"/>
      <c r="AG181" s="131"/>
      <c r="AH181" s="131"/>
      <c r="AI181" s="131"/>
      <c r="AJ181" s="131"/>
      <c r="AK181" s="131"/>
      <c r="AL181" s="131"/>
      <c r="AM181" s="131"/>
      <c r="AN181" s="131"/>
      <c r="AO181" s="131"/>
    </row>
    <row r="182" ht="15.75" customHeight="1">
      <c r="A182" s="131"/>
      <c r="B182" s="131"/>
      <c r="C182" s="131"/>
      <c r="D182" s="131"/>
      <c r="E182" s="131"/>
      <c r="F182" s="131"/>
      <c r="G182" s="131"/>
      <c r="H182" s="131"/>
      <c r="I182" s="131"/>
      <c r="J182" s="131"/>
      <c r="K182" s="131"/>
      <c r="L182" s="131"/>
      <c r="M182" s="131"/>
      <c r="N182" s="131"/>
      <c r="O182" s="131"/>
      <c r="P182" s="131"/>
      <c r="Q182" s="131"/>
      <c r="R182" s="131"/>
      <c r="S182" s="131"/>
      <c r="T182" s="131"/>
      <c r="U182" s="131"/>
      <c r="V182" s="131"/>
      <c r="W182" s="131"/>
      <c r="X182" s="131"/>
      <c r="Y182" s="131"/>
      <c r="Z182" s="131"/>
      <c r="AA182" s="131"/>
      <c r="AB182" s="131"/>
      <c r="AC182" s="131"/>
      <c r="AD182" s="131"/>
      <c r="AE182" s="131"/>
      <c r="AF182" s="131"/>
      <c r="AG182" s="131"/>
      <c r="AH182" s="131"/>
      <c r="AI182" s="131"/>
      <c r="AJ182" s="131"/>
      <c r="AK182" s="131"/>
      <c r="AL182" s="131"/>
      <c r="AM182" s="131"/>
      <c r="AN182" s="131"/>
      <c r="AO182" s="131"/>
    </row>
    <row r="183" ht="15.75" customHeight="1">
      <c r="A183" s="131"/>
      <c r="B183" s="131"/>
      <c r="C183" s="131"/>
      <c r="D183" s="131"/>
      <c r="E183" s="131"/>
      <c r="F183" s="131"/>
      <c r="G183" s="131"/>
      <c r="H183" s="131"/>
      <c r="I183" s="131"/>
      <c r="J183" s="131"/>
      <c r="K183" s="131"/>
      <c r="L183" s="131"/>
      <c r="M183" s="131"/>
      <c r="N183" s="131"/>
      <c r="O183" s="131"/>
      <c r="P183" s="131"/>
      <c r="Q183" s="131"/>
      <c r="R183" s="131"/>
      <c r="S183" s="131"/>
      <c r="T183" s="131"/>
      <c r="U183" s="131"/>
      <c r="V183" s="131"/>
      <c r="W183" s="131"/>
      <c r="X183" s="131"/>
      <c r="Y183" s="131"/>
      <c r="Z183" s="131"/>
      <c r="AA183" s="131"/>
      <c r="AB183" s="131"/>
      <c r="AC183" s="131"/>
      <c r="AD183" s="131"/>
      <c r="AE183" s="131"/>
      <c r="AF183" s="131"/>
      <c r="AG183" s="131"/>
      <c r="AH183" s="131"/>
      <c r="AI183" s="131"/>
      <c r="AJ183" s="131"/>
      <c r="AK183" s="131"/>
      <c r="AL183" s="131"/>
      <c r="AM183" s="131"/>
      <c r="AN183" s="131"/>
      <c r="AO183" s="131"/>
    </row>
    <row r="184" ht="15.75" customHeight="1">
      <c r="A184" s="131"/>
      <c r="B184" s="131"/>
      <c r="C184" s="131"/>
      <c r="D184" s="131"/>
      <c r="E184" s="131"/>
      <c r="F184" s="131"/>
      <c r="G184" s="131"/>
      <c r="H184" s="131"/>
      <c r="I184" s="131"/>
      <c r="J184" s="131"/>
      <c r="K184" s="131"/>
      <c r="L184" s="131"/>
      <c r="M184" s="131"/>
      <c r="N184" s="131"/>
      <c r="O184" s="131"/>
      <c r="P184" s="131"/>
      <c r="Q184" s="131"/>
      <c r="R184" s="131"/>
      <c r="S184" s="131"/>
      <c r="T184" s="131"/>
      <c r="U184" s="131"/>
      <c r="V184" s="131"/>
      <c r="W184" s="131"/>
      <c r="X184" s="131"/>
      <c r="Y184" s="131"/>
      <c r="Z184" s="131"/>
      <c r="AA184" s="131"/>
      <c r="AB184" s="131"/>
      <c r="AC184" s="131"/>
      <c r="AD184" s="131"/>
      <c r="AE184" s="131"/>
      <c r="AF184" s="131"/>
      <c r="AG184" s="131"/>
      <c r="AH184" s="131"/>
      <c r="AI184" s="131"/>
      <c r="AJ184" s="131"/>
      <c r="AK184" s="131"/>
      <c r="AL184" s="131"/>
      <c r="AM184" s="131"/>
      <c r="AN184" s="131"/>
      <c r="AO184" s="131"/>
    </row>
    <row r="185" ht="15.75" customHeight="1">
      <c r="A185" s="131"/>
      <c r="B185" s="131"/>
      <c r="C185" s="131"/>
      <c r="D185" s="131"/>
      <c r="E185" s="131"/>
      <c r="F185" s="131"/>
      <c r="G185" s="131"/>
      <c r="H185" s="131"/>
      <c r="I185" s="131"/>
      <c r="J185" s="131"/>
      <c r="K185" s="131"/>
      <c r="L185" s="131"/>
      <c r="M185" s="131"/>
      <c r="N185" s="131"/>
      <c r="O185" s="131"/>
      <c r="P185" s="131"/>
      <c r="Q185" s="131"/>
      <c r="R185" s="131"/>
      <c r="S185" s="131"/>
      <c r="T185" s="131"/>
      <c r="U185" s="131"/>
      <c r="V185" s="131"/>
      <c r="W185" s="131"/>
      <c r="X185" s="131"/>
      <c r="Y185" s="131"/>
      <c r="Z185" s="131"/>
      <c r="AA185" s="131"/>
      <c r="AB185" s="131"/>
      <c r="AC185" s="131"/>
      <c r="AD185" s="131"/>
      <c r="AE185" s="131"/>
      <c r="AF185" s="131"/>
      <c r="AG185" s="131"/>
      <c r="AH185" s="131"/>
      <c r="AI185" s="131"/>
      <c r="AJ185" s="131"/>
      <c r="AK185" s="131"/>
      <c r="AL185" s="131"/>
      <c r="AM185" s="131"/>
      <c r="AN185" s="131"/>
      <c r="AO185" s="131"/>
    </row>
    <row r="186" ht="15.75" customHeight="1">
      <c r="A186" s="131"/>
      <c r="B186" s="131"/>
      <c r="C186" s="131"/>
      <c r="D186" s="131"/>
      <c r="E186" s="131"/>
      <c r="F186" s="131"/>
      <c r="G186" s="131"/>
      <c r="H186" s="131"/>
      <c r="I186" s="131"/>
      <c r="J186" s="131"/>
      <c r="K186" s="131"/>
      <c r="L186" s="131"/>
      <c r="M186" s="131"/>
      <c r="N186" s="131"/>
      <c r="O186" s="131"/>
      <c r="P186" s="131"/>
      <c r="Q186" s="131"/>
      <c r="R186" s="131"/>
      <c r="S186" s="131"/>
      <c r="T186" s="131"/>
      <c r="U186" s="131"/>
      <c r="V186" s="131"/>
      <c r="W186" s="131"/>
      <c r="X186" s="131"/>
      <c r="Y186" s="131"/>
      <c r="Z186" s="131"/>
      <c r="AA186" s="131"/>
      <c r="AB186" s="131"/>
      <c r="AC186" s="131"/>
      <c r="AD186" s="131"/>
      <c r="AE186" s="131"/>
      <c r="AF186" s="131"/>
      <c r="AG186" s="131"/>
      <c r="AH186" s="131"/>
      <c r="AI186" s="131"/>
      <c r="AJ186" s="131"/>
      <c r="AK186" s="131"/>
      <c r="AL186" s="131"/>
      <c r="AM186" s="131"/>
      <c r="AN186" s="131"/>
      <c r="AO186" s="131"/>
    </row>
    <row r="187" ht="15.75" customHeight="1">
      <c r="A187" s="131"/>
      <c r="B187" s="131"/>
      <c r="C187" s="131"/>
      <c r="D187" s="131"/>
      <c r="E187" s="131"/>
      <c r="F187" s="131"/>
      <c r="G187" s="131"/>
      <c r="H187" s="131"/>
      <c r="I187" s="131"/>
      <c r="J187" s="131"/>
      <c r="K187" s="131"/>
      <c r="L187" s="131"/>
      <c r="M187" s="131"/>
      <c r="N187" s="131"/>
      <c r="O187" s="131"/>
      <c r="P187" s="131"/>
      <c r="Q187" s="131"/>
      <c r="R187" s="131"/>
      <c r="S187" s="131"/>
      <c r="T187" s="131"/>
      <c r="U187" s="131"/>
      <c r="V187" s="131"/>
      <c r="W187" s="131"/>
      <c r="X187" s="131"/>
      <c r="Y187" s="131"/>
      <c r="Z187" s="131"/>
      <c r="AA187" s="131"/>
      <c r="AB187" s="131"/>
      <c r="AC187" s="131"/>
      <c r="AD187" s="131"/>
      <c r="AE187" s="131"/>
      <c r="AF187" s="131"/>
      <c r="AG187" s="131"/>
      <c r="AH187" s="131"/>
      <c r="AI187" s="131"/>
      <c r="AJ187" s="131"/>
      <c r="AK187" s="131"/>
      <c r="AL187" s="131"/>
      <c r="AM187" s="131"/>
      <c r="AN187" s="131"/>
      <c r="AO187" s="131"/>
    </row>
    <row r="188" ht="15.75" customHeight="1">
      <c r="A188" s="131"/>
      <c r="B188" s="131"/>
      <c r="C188" s="131"/>
      <c r="D188" s="131"/>
      <c r="E188" s="131"/>
      <c r="F188" s="131"/>
      <c r="G188" s="131"/>
      <c r="H188" s="131"/>
      <c r="I188" s="131"/>
      <c r="J188" s="131"/>
      <c r="K188" s="131"/>
      <c r="L188" s="131"/>
      <c r="M188" s="131"/>
      <c r="N188" s="131"/>
      <c r="O188" s="131"/>
      <c r="P188" s="131"/>
      <c r="Q188" s="131"/>
      <c r="R188" s="131"/>
      <c r="S188" s="131"/>
      <c r="T188" s="131"/>
      <c r="U188" s="131"/>
      <c r="V188" s="131"/>
      <c r="W188" s="131"/>
      <c r="X188" s="131"/>
      <c r="Y188" s="131"/>
      <c r="Z188" s="131"/>
      <c r="AA188" s="131"/>
      <c r="AB188" s="131"/>
      <c r="AC188" s="131"/>
      <c r="AD188" s="131"/>
      <c r="AE188" s="131"/>
      <c r="AF188" s="131"/>
      <c r="AG188" s="131"/>
      <c r="AH188" s="131"/>
      <c r="AI188" s="131"/>
      <c r="AJ188" s="131"/>
      <c r="AK188" s="131"/>
      <c r="AL188" s="131"/>
      <c r="AM188" s="131"/>
      <c r="AN188" s="131"/>
      <c r="AO188" s="131"/>
    </row>
    <row r="189" ht="15.75" customHeight="1">
      <c r="A189" s="131"/>
      <c r="B189" s="131"/>
      <c r="C189" s="131"/>
      <c r="D189" s="131"/>
      <c r="E189" s="131"/>
      <c r="F189" s="131"/>
      <c r="G189" s="131"/>
      <c r="H189" s="131"/>
      <c r="I189" s="131"/>
      <c r="J189" s="131"/>
      <c r="K189" s="131"/>
      <c r="L189" s="131"/>
      <c r="M189" s="131"/>
      <c r="N189" s="131"/>
      <c r="O189" s="131"/>
      <c r="P189" s="131"/>
      <c r="Q189" s="131"/>
      <c r="R189" s="131"/>
      <c r="S189" s="131"/>
      <c r="T189" s="131"/>
      <c r="U189" s="131"/>
      <c r="V189" s="131"/>
      <c r="W189" s="131"/>
      <c r="X189" s="131"/>
      <c r="Y189" s="131"/>
      <c r="Z189" s="131"/>
      <c r="AA189" s="131"/>
      <c r="AB189" s="131"/>
      <c r="AC189" s="131"/>
      <c r="AD189" s="131"/>
      <c r="AE189" s="131"/>
      <c r="AF189" s="131"/>
      <c r="AG189" s="131"/>
      <c r="AH189" s="131"/>
      <c r="AI189" s="131"/>
      <c r="AJ189" s="131"/>
      <c r="AK189" s="131"/>
      <c r="AL189" s="131"/>
      <c r="AM189" s="131"/>
      <c r="AN189" s="131"/>
      <c r="AO189" s="131"/>
    </row>
    <row r="190" ht="15.75" customHeight="1">
      <c r="A190" s="131"/>
      <c r="B190" s="131"/>
      <c r="C190" s="131"/>
      <c r="D190" s="131"/>
      <c r="E190" s="131"/>
      <c r="F190" s="131"/>
      <c r="G190" s="131"/>
      <c r="H190" s="131"/>
      <c r="I190" s="131"/>
      <c r="J190" s="131"/>
      <c r="K190" s="131"/>
      <c r="L190" s="131"/>
      <c r="M190" s="131"/>
      <c r="N190" s="131"/>
      <c r="O190" s="131"/>
      <c r="P190" s="131"/>
      <c r="Q190" s="131"/>
      <c r="R190" s="131"/>
      <c r="S190" s="131"/>
      <c r="T190" s="131"/>
      <c r="U190" s="131"/>
      <c r="V190" s="131"/>
      <c r="W190" s="131"/>
      <c r="X190" s="131"/>
      <c r="Y190" s="131"/>
      <c r="Z190" s="131"/>
      <c r="AA190" s="131"/>
      <c r="AB190" s="131"/>
      <c r="AC190" s="131"/>
      <c r="AD190" s="131"/>
      <c r="AE190" s="131"/>
      <c r="AF190" s="131"/>
      <c r="AG190" s="131"/>
      <c r="AH190" s="131"/>
      <c r="AI190" s="131"/>
      <c r="AJ190" s="131"/>
      <c r="AK190" s="131"/>
      <c r="AL190" s="131"/>
      <c r="AM190" s="131"/>
      <c r="AN190" s="131"/>
      <c r="AO190" s="131"/>
    </row>
    <row r="191" ht="15.75" customHeight="1">
      <c r="A191" s="131"/>
      <c r="B191" s="131"/>
      <c r="C191" s="131"/>
      <c r="D191" s="131"/>
      <c r="E191" s="131"/>
      <c r="F191" s="131"/>
      <c r="G191" s="131"/>
      <c r="H191" s="131"/>
      <c r="I191" s="131"/>
      <c r="J191" s="131"/>
      <c r="K191" s="131"/>
      <c r="L191" s="131"/>
      <c r="M191" s="131"/>
      <c r="N191" s="131"/>
      <c r="O191" s="131"/>
      <c r="P191" s="131"/>
      <c r="Q191" s="131"/>
      <c r="R191" s="131"/>
      <c r="S191" s="131"/>
      <c r="T191" s="131"/>
      <c r="U191" s="131"/>
      <c r="V191" s="131"/>
      <c r="W191" s="131"/>
      <c r="X191" s="131"/>
      <c r="Y191" s="131"/>
      <c r="Z191" s="131"/>
      <c r="AA191" s="131"/>
      <c r="AB191" s="131"/>
      <c r="AC191" s="131"/>
      <c r="AD191" s="131"/>
      <c r="AE191" s="131"/>
      <c r="AF191" s="131"/>
      <c r="AG191" s="131"/>
      <c r="AH191" s="131"/>
      <c r="AI191" s="131"/>
      <c r="AJ191" s="131"/>
      <c r="AK191" s="131"/>
      <c r="AL191" s="131"/>
      <c r="AM191" s="131"/>
      <c r="AN191" s="131"/>
      <c r="AO191" s="131"/>
    </row>
    <row r="192" ht="15.75" customHeight="1">
      <c r="A192" s="131"/>
      <c r="B192" s="131"/>
      <c r="C192" s="131"/>
      <c r="D192" s="131"/>
      <c r="E192" s="131"/>
      <c r="F192" s="131"/>
      <c r="G192" s="131"/>
      <c r="H192" s="131"/>
      <c r="I192" s="131"/>
      <c r="J192" s="131"/>
      <c r="K192" s="131"/>
      <c r="L192" s="131"/>
      <c r="M192" s="131"/>
      <c r="N192" s="131"/>
      <c r="O192" s="131"/>
      <c r="P192" s="131"/>
      <c r="Q192" s="131"/>
      <c r="R192" s="131"/>
      <c r="S192" s="131"/>
      <c r="T192" s="131"/>
      <c r="U192" s="131"/>
      <c r="V192" s="131"/>
      <c r="W192" s="131"/>
      <c r="X192" s="131"/>
      <c r="Y192" s="131"/>
      <c r="Z192" s="131"/>
      <c r="AA192" s="131"/>
      <c r="AB192" s="131"/>
      <c r="AC192" s="131"/>
      <c r="AD192" s="131"/>
      <c r="AE192" s="131"/>
      <c r="AF192" s="131"/>
      <c r="AG192" s="131"/>
      <c r="AH192" s="131"/>
      <c r="AI192" s="131"/>
      <c r="AJ192" s="131"/>
      <c r="AK192" s="131"/>
      <c r="AL192" s="131"/>
      <c r="AM192" s="131"/>
      <c r="AN192" s="131"/>
      <c r="AO192" s="131"/>
    </row>
    <row r="193" ht="15.75" customHeight="1">
      <c r="A193" s="131"/>
      <c r="B193" s="131"/>
      <c r="C193" s="131"/>
      <c r="D193" s="131"/>
      <c r="E193" s="131"/>
      <c r="F193" s="131"/>
      <c r="G193" s="131"/>
      <c r="H193" s="131"/>
      <c r="I193" s="131"/>
      <c r="J193" s="131"/>
      <c r="K193" s="131"/>
      <c r="L193" s="131"/>
      <c r="M193" s="131"/>
      <c r="N193" s="131"/>
      <c r="O193" s="131"/>
      <c r="P193" s="131"/>
      <c r="Q193" s="131"/>
      <c r="R193" s="131"/>
      <c r="S193" s="131"/>
      <c r="T193" s="131"/>
      <c r="U193" s="131"/>
      <c r="V193" s="131"/>
      <c r="W193" s="131"/>
      <c r="X193" s="131"/>
      <c r="Y193" s="131"/>
      <c r="Z193" s="131"/>
      <c r="AA193" s="131"/>
      <c r="AB193" s="131"/>
      <c r="AC193" s="131"/>
      <c r="AD193" s="131"/>
      <c r="AE193" s="131"/>
      <c r="AF193" s="131"/>
      <c r="AG193" s="131"/>
      <c r="AH193" s="131"/>
      <c r="AI193" s="131"/>
      <c r="AJ193" s="131"/>
      <c r="AK193" s="131"/>
      <c r="AL193" s="131"/>
      <c r="AM193" s="131"/>
      <c r="AN193" s="131"/>
      <c r="AO193" s="131"/>
    </row>
    <row r="194" ht="15.75" customHeight="1">
      <c r="A194" s="131"/>
      <c r="B194" s="131"/>
      <c r="C194" s="131"/>
      <c r="D194" s="131"/>
      <c r="E194" s="131"/>
      <c r="F194" s="131"/>
      <c r="G194" s="131"/>
      <c r="H194" s="131"/>
      <c r="I194" s="131"/>
      <c r="J194" s="131"/>
      <c r="K194" s="131"/>
      <c r="L194" s="131"/>
      <c r="M194" s="131"/>
      <c r="N194" s="131"/>
      <c r="O194" s="131"/>
      <c r="P194" s="131"/>
      <c r="Q194" s="131"/>
      <c r="R194" s="131"/>
      <c r="S194" s="131"/>
      <c r="T194" s="131"/>
      <c r="U194" s="131"/>
      <c r="V194" s="131"/>
      <c r="W194" s="131"/>
      <c r="X194" s="131"/>
      <c r="Y194" s="131"/>
      <c r="Z194" s="131"/>
      <c r="AA194" s="131"/>
      <c r="AB194" s="131"/>
      <c r="AC194" s="131"/>
      <c r="AD194" s="131"/>
      <c r="AE194" s="131"/>
      <c r="AF194" s="131"/>
      <c r="AG194" s="131"/>
      <c r="AH194" s="131"/>
      <c r="AI194" s="131"/>
      <c r="AJ194" s="131"/>
      <c r="AK194" s="131"/>
      <c r="AL194" s="131"/>
      <c r="AM194" s="131"/>
      <c r="AN194" s="131"/>
      <c r="AO194" s="131"/>
    </row>
    <row r="195" ht="15.75" customHeight="1">
      <c r="A195" s="131"/>
      <c r="B195" s="131"/>
      <c r="C195" s="131"/>
      <c r="D195" s="131"/>
      <c r="E195" s="131"/>
      <c r="F195" s="131"/>
      <c r="G195" s="131"/>
      <c r="H195" s="131"/>
      <c r="I195" s="131"/>
      <c r="J195" s="131"/>
      <c r="K195" s="131"/>
      <c r="L195" s="131"/>
      <c r="M195" s="131"/>
      <c r="N195" s="131"/>
      <c r="O195" s="131"/>
      <c r="P195" s="131"/>
      <c r="Q195" s="131"/>
      <c r="R195" s="131"/>
      <c r="S195" s="131"/>
      <c r="T195" s="131"/>
      <c r="U195" s="131"/>
      <c r="V195" s="131"/>
      <c r="W195" s="131"/>
      <c r="X195" s="131"/>
      <c r="Y195" s="131"/>
      <c r="Z195" s="131"/>
      <c r="AA195" s="131"/>
      <c r="AB195" s="131"/>
      <c r="AC195" s="131"/>
      <c r="AD195" s="131"/>
      <c r="AE195" s="131"/>
      <c r="AF195" s="131"/>
      <c r="AG195" s="131"/>
      <c r="AH195" s="131"/>
      <c r="AI195" s="131"/>
      <c r="AJ195" s="131"/>
      <c r="AK195" s="131"/>
      <c r="AL195" s="131"/>
      <c r="AM195" s="131"/>
      <c r="AN195" s="131"/>
      <c r="AO195" s="131"/>
    </row>
    <row r="196" ht="15.75" customHeight="1">
      <c r="A196" s="131"/>
      <c r="B196" s="131"/>
      <c r="C196" s="131"/>
      <c r="D196" s="131"/>
      <c r="E196" s="131"/>
      <c r="F196" s="131"/>
      <c r="G196" s="131"/>
      <c r="H196" s="131"/>
      <c r="I196" s="131"/>
      <c r="J196" s="131"/>
      <c r="K196" s="131"/>
      <c r="L196" s="131"/>
      <c r="M196" s="131"/>
      <c r="N196" s="131"/>
      <c r="O196" s="131"/>
      <c r="P196" s="131"/>
      <c r="Q196" s="131"/>
      <c r="R196" s="131"/>
      <c r="S196" s="131"/>
      <c r="T196" s="131"/>
      <c r="U196" s="131"/>
      <c r="V196" s="131"/>
      <c r="W196" s="131"/>
      <c r="X196" s="131"/>
      <c r="Y196" s="131"/>
      <c r="Z196" s="131"/>
      <c r="AA196" s="131"/>
      <c r="AB196" s="131"/>
      <c r="AC196" s="131"/>
      <c r="AD196" s="131"/>
      <c r="AE196" s="131"/>
      <c r="AF196" s="131"/>
      <c r="AG196" s="131"/>
      <c r="AH196" s="131"/>
      <c r="AI196" s="131"/>
      <c r="AJ196" s="131"/>
      <c r="AK196" s="131"/>
      <c r="AL196" s="131"/>
      <c r="AM196" s="131"/>
      <c r="AN196" s="131"/>
      <c r="AO196" s="131"/>
    </row>
    <row r="197" ht="15.75" customHeight="1">
      <c r="A197" s="131"/>
      <c r="B197" s="131"/>
      <c r="C197" s="131"/>
      <c r="D197" s="131"/>
      <c r="E197" s="131"/>
      <c r="F197" s="131"/>
      <c r="G197" s="131"/>
      <c r="H197" s="131"/>
      <c r="I197" s="131"/>
      <c r="J197" s="131"/>
      <c r="K197" s="131"/>
      <c r="L197" s="131"/>
      <c r="M197" s="131"/>
      <c r="N197" s="131"/>
      <c r="O197" s="131"/>
      <c r="P197" s="131"/>
      <c r="Q197" s="131"/>
      <c r="R197" s="131"/>
      <c r="S197" s="131"/>
      <c r="T197" s="131"/>
      <c r="U197" s="131"/>
      <c r="V197" s="131"/>
      <c r="W197" s="131"/>
      <c r="X197" s="131"/>
      <c r="Y197" s="131"/>
      <c r="Z197" s="131"/>
      <c r="AA197" s="131"/>
      <c r="AB197" s="131"/>
      <c r="AC197" s="131"/>
      <c r="AD197" s="131"/>
      <c r="AE197" s="131"/>
      <c r="AF197" s="131"/>
      <c r="AG197" s="131"/>
      <c r="AH197" s="131"/>
      <c r="AI197" s="131"/>
      <c r="AJ197" s="131"/>
      <c r="AK197" s="131"/>
      <c r="AL197" s="131"/>
      <c r="AM197" s="131"/>
      <c r="AN197" s="131"/>
      <c r="AO197" s="131"/>
    </row>
    <row r="198" ht="15.75" customHeight="1">
      <c r="A198" s="131"/>
      <c r="B198" s="131"/>
      <c r="C198" s="131"/>
      <c r="D198" s="131"/>
      <c r="E198" s="131"/>
      <c r="F198" s="131"/>
      <c r="G198" s="131"/>
      <c r="H198" s="131"/>
      <c r="I198" s="131"/>
      <c r="J198" s="131"/>
      <c r="K198" s="131"/>
      <c r="L198" s="131"/>
      <c r="M198" s="131"/>
      <c r="N198" s="131"/>
      <c r="O198" s="131"/>
      <c r="P198" s="131"/>
      <c r="Q198" s="131"/>
      <c r="R198" s="131"/>
      <c r="S198" s="131"/>
      <c r="T198" s="131"/>
      <c r="U198" s="131"/>
      <c r="V198" s="131"/>
      <c r="W198" s="131"/>
      <c r="X198" s="131"/>
      <c r="Y198" s="131"/>
      <c r="Z198" s="131"/>
      <c r="AA198" s="131"/>
      <c r="AB198" s="131"/>
      <c r="AC198" s="131"/>
      <c r="AD198" s="131"/>
      <c r="AE198" s="131"/>
      <c r="AF198" s="131"/>
      <c r="AG198" s="131"/>
      <c r="AH198" s="131"/>
      <c r="AI198" s="131"/>
      <c r="AJ198" s="131"/>
      <c r="AK198" s="131"/>
      <c r="AL198" s="131"/>
      <c r="AM198" s="131"/>
      <c r="AN198" s="131"/>
      <c r="AO198" s="131"/>
    </row>
    <row r="199" ht="15.75" customHeight="1">
      <c r="A199" s="131"/>
      <c r="B199" s="131"/>
      <c r="C199" s="131"/>
      <c r="D199" s="131"/>
      <c r="E199" s="131"/>
      <c r="F199" s="131"/>
      <c r="G199" s="131"/>
      <c r="H199" s="131"/>
      <c r="I199" s="131"/>
      <c r="J199" s="131"/>
      <c r="K199" s="131"/>
      <c r="L199" s="131"/>
      <c r="M199" s="131"/>
      <c r="N199" s="131"/>
      <c r="O199" s="131"/>
      <c r="P199" s="131"/>
      <c r="Q199" s="131"/>
      <c r="R199" s="131"/>
      <c r="S199" s="131"/>
      <c r="T199" s="131"/>
      <c r="U199" s="131"/>
      <c r="V199" s="131"/>
      <c r="W199" s="131"/>
      <c r="X199" s="131"/>
      <c r="Y199" s="131"/>
      <c r="Z199" s="131"/>
      <c r="AA199" s="131"/>
      <c r="AB199" s="131"/>
      <c r="AC199" s="131"/>
      <c r="AD199" s="131"/>
      <c r="AE199" s="131"/>
      <c r="AF199" s="131"/>
      <c r="AG199" s="131"/>
      <c r="AH199" s="131"/>
      <c r="AI199" s="131"/>
      <c r="AJ199" s="131"/>
      <c r="AK199" s="131"/>
      <c r="AL199" s="131"/>
      <c r="AM199" s="131"/>
      <c r="AN199" s="131"/>
      <c r="AO199" s="131"/>
    </row>
    <row r="200" ht="15.75" customHeight="1">
      <c r="A200" s="131"/>
      <c r="B200" s="131"/>
      <c r="C200" s="131"/>
      <c r="D200" s="131"/>
      <c r="E200" s="131"/>
      <c r="F200" s="131"/>
      <c r="G200" s="131"/>
      <c r="H200" s="131"/>
      <c r="I200" s="131"/>
      <c r="J200" s="131"/>
      <c r="K200" s="131"/>
      <c r="L200" s="131"/>
      <c r="M200" s="131"/>
      <c r="N200" s="131"/>
      <c r="O200" s="131"/>
      <c r="P200" s="131"/>
      <c r="Q200" s="131"/>
      <c r="R200" s="131"/>
      <c r="S200" s="131"/>
      <c r="T200" s="131"/>
      <c r="U200" s="131"/>
      <c r="V200" s="131"/>
      <c r="W200" s="131"/>
      <c r="X200" s="131"/>
      <c r="Y200" s="131"/>
      <c r="Z200" s="131"/>
      <c r="AA200" s="131"/>
      <c r="AB200" s="131"/>
      <c r="AC200" s="131"/>
      <c r="AD200" s="131"/>
      <c r="AE200" s="131"/>
      <c r="AF200" s="131"/>
      <c r="AG200" s="131"/>
      <c r="AH200" s="131"/>
      <c r="AI200" s="131"/>
      <c r="AJ200" s="131"/>
      <c r="AK200" s="131"/>
      <c r="AL200" s="131"/>
      <c r="AM200" s="131"/>
      <c r="AN200" s="131"/>
      <c r="AO200" s="131"/>
    </row>
    <row r="201" ht="15.75" customHeight="1">
      <c r="A201" s="131"/>
      <c r="B201" s="131"/>
      <c r="C201" s="131"/>
      <c r="D201" s="131"/>
      <c r="E201" s="131"/>
      <c r="F201" s="131"/>
      <c r="G201" s="131"/>
      <c r="H201" s="131"/>
      <c r="I201" s="131"/>
      <c r="J201" s="131"/>
      <c r="K201" s="131"/>
      <c r="L201" s="131"/>
      <c r="M201" s="131"/>
      <c r="N201" s="131"/>
      <c r="O201" s="131"/>
      <c r="P201" s="131"/>
      <c r="Q201" s="131"/>
      <c r="R201" s="131"/>
      <c r="S201" s="131"/>
      <c r="T201" s="131"/>
      <c r="U201" s="131"/>
      <c r="V201" s="131"/>
      <c r="W201" s="131"/>
      <c r="X201" s="131"/>
      <c r="Y201" s="131"/>
      <c r="Z201" s="131"/>
      <c r="AA201" s="131"/>
      <c r="AB201" s="131"/>
      <c r="AC201" s="131"/>
      <c r="AD201" s="131"/>
      <c r="AE201" s="131"/>
      <c r="AF201" s="131"/>
      <c r="AG201" s="131"/>
      <c r="AH201" s="131"/>
      <c r="AI201" s="131"/>
      <c r="AJ201" s="131"/>
      <c r="AK201" s="131"/>
      <c r="AL201" s="131"/>
      <c r="AM201" s="131"/>
      <c r="AN201" s="131"/>
      <c r="AO201" s="131"/>
    </row>
    <row r="202" ht="15.75" customHeight="1">
      <c r="A202" s="131"/>
      <c r="B202" s="131"/>
      <c r="C202" s="131"/>
      <c r="D202" s="131"/>
      <c r="E202" s="131"/>
      <c r="F202" s="131"/>
      <c r="G202" s="131"/>
      <c r="H202" s="131"/>
      <c r="I202" s="131"/>
      <c r="J202" s="131"/>
      <c r="K202" s="131"/>
      <c r="L202" s="131"/>
      <c r="M202" s="131"/>
      <c r="N202" s="131"/>
      <c r="O202" s="131"/>
      <c r="P202" s="131"/>
      <c r="Q202" s="131"/>
      <c r="R202" s="131"/>
      <c r="S202" s="131"/>
      <c r="T202" s="131"/>
      <c r="U202" s="131"/>
      <c r="V202" s="131"/>
      <c r="W202" s="131"/>
      <c r="X202" s="131"/>
      <c r="Y202" s="131"/>
      <c r="Z202" s="131"/>
      <c r="AA202" s="131"/>
      <c r="AB202" s="131"/>
      <c r="AC202" s="131"/>
      <c r="AD202" s="131"/>
      <c r="AE202" s="131"/>
      <c r="AF202" s="131"/>
      <c r="AG202" s="131"/>
      <c r="AH202" s="131"/>
      <c r="AI202" s="131"/>
      <c r="AJ202" s="131"/>
      <c r="AK202" s="131"/>
      <c r="AL202" s="131"/>
      <c r="AM202" s="131"/>
      <c r="AN202" s="131"/>
      <c r="AO202" s="131"/>
    </row>
    <row r="203" ht="15.75" customHeight="1">
      <c r="A203" s="131"/>
      <c r="B203" s="131"/>
      <c r="C203" s="131"/>
      <c r="D203" s="131"/>
      <c r="E203" s="131"/>
      <c r="F203" s="131"/>
      <c r="G203" s="131"/>
      <c r="H203" s="131"/>
      <c r="I203" s="131"/>
      <c r="J203" s="131"/>
      <c r="K203" s="131"/>
      <c r="L203" s="131"/>
      <c r="M203" s="131"/>
      <c r="N203" s="131"/>
      <c r="O203" s="131"/>
      <c r="P203" s="131"/>
      <c r="Q203" s="131"/>
      <c r="R203" s="131"/>
      <c r="S203" s="131"/>
      <c r="T203" s="131"/>
      <c r="U203" s="131"/>
      <c r="V203" s="131"/>
      <c r="W203" s="131"/>
      <c r="X203" s="131"/>
      <c r="Y203" s="131"/>
      <c r="Z203" s="131"/>
      <c r="AA203" s="131"/>
      <c r="AB203" s="131"/>
      <c r="AC203" s="131"/>
      <c r="AD203" s="131"/>
      <c r="AE203" s="131"/>
      <c r="AF203" s="131"/>
      <c r="AG203" s="131"/>
      <c r="AH203" s="131"/>
      <c r="AI203" s="131"/>
      <c r="AJ203" s="131"/>
      <c r="AK203" s="131"/>
      <c r="AL203" s="131"/>
      <c r="AM203" s="131"/>
      <c r="AN203" s="131"/>
      <c r="AO203" s="131"/>
    </row>
    <row r="204" ht="15.75" customHeight="1">
      <c r="A204" s="131"/>
      <c r="B204" s="131"/>
      <c r="C204" s="131"/>
      <c r="D204" s="131"/>
      <c r="E204" s="131"/>
      <c r="F204" s="131"/>
      <c r="G204" s="131"/>
      <c r="H204" s="131"/>
      <c r="I204" s="131"/>
      <c r="J204" s="131"/>
      <c r="K204" s="131"/>
      <c r="L204" s="131"/>
      <c r="M204" s="131"/>
      <c r="N204" s="131"/>
      <c r="O204" s="131"/>
      <c r="P204" s="131"/>
      <c r="Q204" s="131"/>
      <c r="R204" s="131"/>
      <c r="S204" s="131"/>
      <c r="T204" s="131"/>
      <c r="U204" s="131"/>
      <c r="V204" s="131"/>
      <c r="W204" s="131"/>
      <c r="X204" s="131"/>
      <c r="Y204" s="131"/>
      <c r="Z204" s="131"/>
      <c r="AA204" s="131"/>
      <c r="AB204" s="131"/>
      <c r="AC204" s="131"/>
      <c r="AD204" s="131"/>
      <c r="AE204" s="131"/>
      <c r="AF204" s="131"/>
      <c r="AG204" s="131"/>
      <c r="AH204" s="131"/>
      <c r="AI204" s="131"/>
      <c r="AJ204" s="131"/>
      <c r="AK204" s="131"/>
      <c r="AL204" s="131"/>
      <c r="AM204" s="131"/>
      <c r="AN204" s="131"/>
      <c r="AO204" s="131"/>
    </row>
    <row r="205" ht="15.75" customHeight="1">
      <c r="A205" s="131"/>
      <c r="B205" s="131"/>
      <c r="C205" s="131"/>
      <c r="D205" s="131"/>
      <c r="E205" s="131"/>
      <c r="F205" s="131"/>
      <c r="G205" s="131"/>
      <c r="H205" s="131"/>
      <c r="I205" s="131"/>
      <c r="J205" s="131"/>
      <c r="K205" s="131"/>
      <c r="L205" s="131"/>
      <c r="M205" s="131"/>
      <c r="N205" s="131"/>
      <c r="O205" s="131"/>
      <c r="P205" s="131"/>
      <c r="Q205" s="131"/>
      <c r="R205" s="131"/>
      <c r="S205" s="131"/>
      <c r="T205" s="131"/>
      <c r="U205" s="131"/>
      <c r="V205" s="131"/>
      <c r="W205" s="131"/>
      <c r="X205" s="131"/>
      <c r="Y205" s="131"/>
      <c r="Z205" s="131"/>
      <c r="AA205" s="131"/>
      <c r="AB205" s="131"/>
      <c r="AC205" s="131"/>
      <c r="AD205" s="131"/>
      <c r="AE205" s="131"/>
      <c r="AF205" s="131"/>
      <c r="AG205" s="131"/>
      <c r="AH205" s="131"/>
      <c r="AI205" s="131"/>
      <c r="AJ205" s="131"/>
      <c r="AK205" s="131"/>
      <c r="AL205" s="131"/>
      <c r="AM205" s="131"/>
      <c r="AN205" s="131"/>
      <c r="AO205" s="131"/>
    </row>
    <row r="206" ht="15.75" customHeight="1">
      <c r="A206" s="131"/>
      <c r="B206" s="131"/>
      <c r="C206" s="131"/>
      <c r="D206" s="131"/>
      <c r="E206" s="131"/>
      <c r="F206" s="131"/>
      <c r="G206" s="131"/>
      <c r="H206" s="131"/>
      <c r="I206" s="131"/>
      <c r="J206" s="131"/>
      <c r="K206" s="131"/>
      <c r="L206" s="131"/>
      <c r="M206" s="131"/>
      <c r="N206" s="131"/>
      <c r="O206" s="131"/>
      <c r="P206" s="131"/>
      <c r="Q206" s="131"/>
      <c r="R206" s="131"/>
      <c r="S206" s="131"/>
      <c r="T206" s="131"/>
      <c r="U206" s="131"/>
      <c r="V206" s="131"/>
      <c r="W206" s="131"/>
      <c r="X206" s="131"/>
      <c r="Y206" s="131"/>
      <c r="Z206" s="131"/>
      <c r="AA206" s="131"/>
      <c r="AB206" s="131"/>
      <c r="AC206" s="131"/>
      <c r="AD206" s="131"/>
      <c r="AE206" s="131"/>
      <c r="AF206" s="131"/>
      <c r="AG206" s="131"/>
      <c r="AH206" s="131"/>
      <c r="AI206" s="131"/>
      <c r="AJ206" s="131"/>
      <c r="AK206" s="131"/>
      <c r="AL206" s="131"/>
      <c r="AM206" s="131"/>
      <c r="AN206" s="131"/>
      <c r="AO206" s="131"/>
    </row>
    <row r="207" ht="15.75" customHeight="1">
      <c r="A207" s="131"/>
      <c r="B207" s="131"/>
      <c r="C207" s="131"/>
      <c r="D207" s="131"/>
      <c r="E207" s="131"/>
      <c r="F207" s="131"/>
      <c r="G207" s="131"/>
      <c r="H207" s="131"/>
      <c r="I207" s="131"/>
      <c r="J207" s="131"/>
      <c r="K207" s="131"/>
      <c r="L207" s="131"/>
      <c r="M207" s="131"/>
      <c r="N207" s="131"/>
      <c r="O207" s="131"/>
      <c r="P207" s="131"/>
      <c r="Q207" s="131"/>
      <c r="R207" s="131"/>
      <c r="S207" s="131"/>
      <c r="T207" s="131"/>
      <c r="U207" s="131"/>
      <c r="V207" s="131"/>
      <c r="W207" s="131"/>
      <c r="X207" s="131"/>
      <c r="Y207" s="131"/>
      <c r="Z207" s="131"/>
      <c r="AA207" s="131"/>
      <c r="AB207" s="131"/>
      <c r="AC207" s="131"/>
      <c r="AD207" s="131"/>
      <c r="AE207" s="131"/>
      <c r="AF207" s="131"/>
      <c r="AG207" s="131"/>
      <c r="AH207" s="131"/>
      <c r="AI207" s="131"/>
      <c r="AJ207" s="131"/>
      <c r="AK207" s="131"/>
      <c r="AL207" s="131"/>
      <c r="AM207" s="131"/>
      <c r="AN207" s="131"/>
      <c r="AO207" s="131"/>
    </row>
    <row r="208" ht="15.75" customHeight="1">
      <c r="A208" s="131"/>
      <c r="B208" s="131"/>
      <c r="C208" s="131"/>
      <c r="D208" s="131"/>
      <c r="E208" s="131"/>
      <c r="F208" s="131"/>
      <c r="G208" s="131"/>
      <c r="H208" s="131"/>
      <c r="I208" s="131"/>
      <c r="J208" s="131"/>
      <c r="K208" s="131"/>
      <c r="L208" s="131"/>
      <c r="M208" s="131"/>
      <c r="N208" s="131"/>
      <c r="O208" s="131"/>
      <c r="P208" s="131"/>
      <c r="Q208" s="131"/>
      <c r="R208" s="131"/>
      <c r="S208" s="131"/>
      <c r="T208" s="131"/>
      <c r="U208" s="131"/>
      <c r="V208" s="131"/>
      <c r="W208" s="131"/>
      <c r="X208" s="131"/>
      <c r="Y208" s="131"/>
      <c r="Z208" s="131"/>
      <c r="AA208" s="131"/>
      <c r="AB208" s="131"/>
      <c r="AC208" s="131"/>
      <c r="AD208" s="131"/>
      <c r="AE208" s="131"/>
      <c r="AF208" s="131"/>
      <c r="AG208" s="131"/>
      <c r="AH208" s="131"/>
      <c r="AI208" s="131"/>
      <c r="AJ208" s="131"/>
      <c r="AK208" s="131"/>
      <c r="AL208" s="131"/>
      <c r="AM208" s="131"/>
      <c r="AN208" s="131"/>
      <c r="AO208" s="131"/>
    </row>
    <row r="209" ht="15.75" customHeight="1">
      <c r="A209" s="131"/>
      <c r="B209" s="131"/>
      <c r="C209" s="131"/>
      <c r="D209" s="131"/>
      <c r="E209" s="131"/>
      <c r="F209" s="131"/>
      <c r="G209" s="131"/>
      <c r="H209" s="131"/>
      <c r="I209" s="131"/>
      <c r="J209" s="131"/>
      <c r="K209" s="131"/>
      <c r="L209" s="131"/>
      <c r="M209" s="131"/>
      <c r="N209" s="131"/>
      <c r="O209" s="131"/>
      <c r="P209" s="131"/>
      <c r="Q209" s="131"/>
      <c r="R209" s="131"/>
      <c r="S209" s="131"/>
      <c r="T209" s="131"/>
      <c r="U209" s="131"/>
      <c r="V209" s="131"/>
      <c r="W209" s="131"/>
      <c r="X209" s="131"/>
      <c r="Y209" s="131"/>
      <c r="Z209" s="131"/>
      <c r="AA209" s="131"/>
      <c r="AB209" s="131"/>
      <c r="AC209" s="131"/>
      <c r="AD209" s="131"/>
      <c r="AE209" s="131"/>
      <c r="AF209" s="131"/>
      <c r="AG209" s="131"/>
      <c r="AH209" s="131"/>
      <c r="AI209" s="131"/>
      <c r="AJ209" s="131"/>
      <c r="AK209" s="131"/>
      <c r="AL209" s="131"/>
      <c r="AM209" s="131"/>
      <c r="AN209" s="131"/>
      <c r="AO209" s="131"/>
    </row>
    <row r="210" ht="15.75" customHeight="1">
      <c r="A210" s="131"/>
      <c r="B210" s="131"/>
      <c r="C210" s="131"/>
      <c r="D210" s="131"/>
      <c r="E210" s="131"/>
      <c r="F210" s="131"/>
      <c r="G210" s="131"/>
      <c r="H210" s="131"/>
      <c r="I210" s="131"/>
      <c r="J210" s="131"/>
      <c r="K210" s="131"/>
      <c r="L210" s="131"/>
      <c r="M210" s="131"/>
      <c r="N210" s="131"/>
      <c r="O210" s="131"/>
      <c r="P210" s="131"/>
      <c r="Q210" s="131"/>
      <c r="R210" s="131"/>
      <c r="S210" s="131"/>
      <c r="T210" s="131"/>
      <c r="U210" s="131"/>
      <c r="V210" s="131"/>
      <c r="W210" s="131"/>
      <c r="X210" s="131"/>
      <c r="Y210" s="131"/>
      <c r="Z210" s="131"/>
      <c r="AA210" s="131"/>
      <c r="AB210" s="131"/>
      <c r="AC210" s="131"/>
      <c r="AD210" s="131"/>
      <c r="AE210" s="131"/>
      <c r="AF210" s="131"/>
      <c r="AG210" s="131"/>
      <c r="AH210" s="131"/>
      <c r="AI210" s="131"/>
      <c r="AJ210" s="131"/>
      <c r="AK210" s="131"/>
      <c r="AL210" s="131"/>
      <c r="AM210" s="131"/>
      <c r="AN210" s="131"/>
      <c r="AO210" s="131"/>
    </row>
    <row r="211" ht="15.75" customHeight="1">
      <c r="A211" s="131"/>
      <c r="B211" s="131"/>
      <c r="C211" s="131"/>
      <c r="D211" s="131"/>
      <c r="E211" s="131"/>
      <c r="F211" s="131"/>
      <c r="G211" s="131"/>
      <c r="H211" s="131"/>
      <c r="I211" s="131"/>
      <c r="J211" s="131"/>
      <c r="K211" s="131"/>
      <c r="L211" s="131"/>
      <c r="M211" s="131"/>
      <c r="N211" s="131"/>
      <c r="O211" s="131"/>
      <c r="P211" s="131"/>
      <c r="Q211" s="131"/>
      <c r="R211" s="131"/>
      <c r="S211" s="131"/>
      <c r="T211" s="131"/>
      <c r="U211" s="131"/>
      <c r="V211" s="131"/>
      <c r="W211" s="131"/>
      <c r="X211" s="131"/>
      <c r="Y211" s="131"/>
      <c r="Z211" s="131"/>
      <c r="AA211" s="131"/>
      <c r="AB211" s="131"/>
      <c r="AC211" s="131"/>
      <c r="AD211" s="131"/>
      <c r="AE211" s="131"/>
      <c r="AF211" s="131"/>
      <c r="AG211" s="131"/>
      <c r="AH211" s="131"/>
      <c r="AI211" s="131"/>
      <c r="AJ211" s="131"/>
      <c r="AK211" s="131"/>
      <c r="AL211" s="131"/>
      <c r="AM211" s="131"/>
      <c r="AN211" s="131"/>
      <c r="AO211" s="131"/>
    </row>
    <row r="212" ht="15.75" customHeight="1">
      <c r="A212" s="131"/>
      <c r="B212" s="131"/>
      <c r="C212" s="131"/>
      <c r="D212" s="131"/>
      <c r="E212" s="131"/>
      <c r="F212" s="131"/>
      <c r="G212" s="131"/>
      <c r="H212" s="131"/>
      <c r="I212" s="131"/>
      <c r="J212" s="131"/>
      <c r="K212" s="131"/>
      <c r="L212" s="131"/>
      <c r="M212" s="131"/>
      <c r="N212" s="131"/>
      <c r="O212" s="131"/>
      <c r="P212" s="131"/>
      <c r="Q212" s="131"/>
      <c r="R212" s="131"/>
      <c r="S212" s="131"/>
      <c r="T212" s="131"/>
      <c r="U212" s="131"/>
      <c r="V212" s="131"/>
      <c r="W212" s="131"/>
      <c r="X212" s="131"/>
      <c r="Y212" s="131"/>
      <c r="Z212" s="131"/>
      <c r="AA212" s="131"/>
      <c r="AB212" s="131"/>
      <c r="AC212" s="131"/>
      <c r="AD212" s="131"/>
      <c r="AE212" s="131"/>
      <c r="AF212" s="131"/>
      <c r="AG212" s="131"/>
      <c r="AH212" s="131"/>
      <c r="AI212" s="131"/>
      <c r="AJ212" s="131"/>
      <c r="AK212" s="131"/>
      <c r="AL212" s="131"/>
      <c r="AM212" s="131"/>
      <c r="AN212" s="131"/>
      <c r="AO212" s="131"/>
    </row>
    <row r="213" ht="15.75" customHeight="1">
      <c r="A213" s="131"/>
      <c r="B213" s="131"/>
      <c r="C213" s="131"/>
      <c r="D213" s="131"/>
      <c r="E213" s="131"/>
      <c r="F213" s="131"/>
      <c r="G213" s="131"/>
      <c r="H213" s="131"/>
      <c r="I213" s="131"/>
      <c r="J213" s="131"/>
      <c r="K213" s="131"/>
      <c r="L213" s="131"/>
      <c r="M213" s="131"/>
      <c r="N213" s="131"/>
      <c r="O213" s="131"/>
      <c r="P213" s="131"/>
      <c r="Q213" s="131"/>
      <c r="R213" s="131"/>
      <c r="S213" s="131"/>
      <c r="T213" s="131"/>
      <c r="U213" s="131"/>
      <c r="V213" s="131"/>
      <c r="W213" s="131"/>
      <c r="X213" s="131"/>
      <c r="Y213" s="131"/>
      <c r="Z213" s="131"/>
      <c r="AA213" s="131"/>
      <c r="AB213" s="131"/>
      <c r="AC213" s="131"/>
      <c r="AD213" s="131"/>
      <c r="AE213" s="131"/>
      <c r="AF213" s="131"/>
      <c r="AG213" s="131"/>
      <c r="AH213" s="131"/>
      <c r="AI213" s="131"/>
      <c r="AJ213" s="131"/>
      <c r="AK213" s="131"/>
      <c r="AL213" s="131"/>
      <c r="AM213" s="131"/>
      <c r="AN213" s="131"/>
      <c r="AO213" s="131"/>
    </row>
    <row r="214" ht="15.75" customHeight="1">
      <c r="A214" s="131"/>
      <c r="B214" s="131"/>
      <c r="C214" s="131"/>
      <c r="D214" s="131"/>
      <c r="E214" s="131"/>
      <c r="F214" s="131"/>
      <c r="G214" s="131"/>
      <c r="H214" s="131"/>
      <c r="I214" s="131"/>
      <c r="J214" s="131"/>
      <c r="K214" s="131"/>
      <c r="L214" s="131"/>
      <c r="M214" s="131"/>
      <c r="N214" s="131"/>
      <c r="O214" s="131"/>
      <c r="P214" s="131"/>
      <c r="Q214" s="131"/>
      <c r="R214" s="131"/>
      <c r="S214" s="131"/>
      <c r="T214" s="131"/>
      <c r="U214" s="131"/>
      <c r="V214" s="131"/>
      <c r="W214" s="131"/>
      <c r="X214" s="131"/>
      <c r="Y214" s="131"/>
      <c r="Z214" s="131"/>
      <c r="AA214" s="131"/>
      <c r="AB214" s="131"/>
      <c r="AC214" s="131"/>
      <c r="AD214" s="131"/>
      <c r="AE214" s="131"/>
      <c r="AF214" s="131"/>
      <c r="AG214" s="131"/>
      <c r="AH214" s="131"/>
      <c r="AI214" s="131"/>
      <c r="AJ214" s="131"/>
      <c r="AK214" s="131"/>
      <c r="AL214" s="131"/>
      <c r="AM214" s="131"/>
      <c r="AN214" s="131"/>
      <c r="AO214" s="131"/>
    </row>
    <row r="215" ht="15.75" customHeight="1">
      <c r="A215" s="131"/>
      <c r="B215" s="131"/>
      <c r="C215" s="131"/>
      <c r="D215" s="131"/>
      <c r="E215" s="131"/>
      <c r="F215" s="131"/>
      <c r="G215" s="131"/>
      <c r="H215" s="131"/>
      <c r="I215" s="131"/>
      <c r="J215" s="131"/>
      <c r="K215" s="131"/>
      <c r="L215" s="131"/>
      <c r="M215" s="131"/>
      <c r="N215" s="131"/>
      <c r="O215" s="131"/>
      <c r="P215" s="131"/>
      <c r="Q215" s="131"/>
      <c r="R215" s="131"/>
      <c r="S215" s="131"/>
      <c r="T215" s="131"/>
      <c r="U215" s="131"/>
      <c r="V215" s="131"/>
      <c r="W215" s="131"/>
      <c r="X215" s="131"/>
      <c r="Y215" s="131"/>
      <c r="Z215" s="131"/>
      <c r="AA215" s="131"/>
      <c r="AB215" s="131"/>
      <c r="AC215" s="131"/>
      <c r="AD215" s="131"/>
      <c r="AE215" s="131"/>
      <c r="AF215" s="131"/>
      <c r="AG215" s="131"/>
      <c r="AH215" s="131"/>
      <c r="AI215" s="131"/>
      <c r="AJ215" s="131"/>
      <c r="AK215" s="131"/>
      <c r="AL215" s="131"/>
      <c r="AM215" s="131"/>
      <c r="AN215" s="131"/>
      <c r="AO215" s="131"/>
    </row>
    <row r="216" ht="15.75" customHeight="1">
      <c r="A216" s="131"/>
      <c r="B216" s="131"/>
      <c r="C216" s="131"/>
      <c r="D216" s="131"/>
      <c r="E216" s="131"/>
      <c r="F216" s="131"/>
      <c r="G216" s="131"/>
      <c r="H216" s="131"/>
      <c r="I216" s="131"/>
      <c r="J216" s="131"/>
      <c r="K216" s="131"/>
      <c r="L216" s="131"/>
      <c r="M216" s="131"/>
      <c r="N216" s="131"/>
      <c r="O216" s="131"/>
      <c r="P216" s="131"/>
      <c r="Q216" s="131"/>
      <c r="R216" s="131"/>
      <c r="S216" s="131"/>
      <c r="T216" s="131"/>
      <c r="U216" s="131"/>
      <c r="V216" s="131"/>
      <c r="W216" s="131"/>
      <c r="X216" s="131"/>
      <c r="Y216" s="131"/>
      <c r="Z216" s="131"/>
      <c r="AA216" s="131"/>
      <c r="AB216" s="131"/>
      <c r="AC216" s="131"/>
      <c r="AD216" s="131"/>
      <c r="AE216" s="131"/>
      <c r="AF216" s="131"/>
      <c r="AG216" s="131"/>
      <c r="AH216" s="131"/>
      <c r="AI216" s="131"/>
      <c r="AJ216" s="131"/>
      <c r="AK216" s="131"/>
      <c r="AL216" s="131"/>
      <c r="AM216" s="131"/>
      <c r="AN216" s="131"/>
      <c r="AO216" s="131"/>
    </row>
    <row r="217" ht="15.75" customHeight="1">
      <c r="A217" s="131"/>
      <c r="B217" s="131"/>
      <c r="C217" s="131"/>
      <c r="D217" s="131"/>
      <c r="E217" s="131"/>
      <c r="F217" s="131"/>
      <c r="G217" s="131"/>
      <c r="H217" s="131"/>
      <c r="I217" s="131"/>
      <c r="J217" s="131"/>
      <c r="K217" s="131"/>
      <c r="L217" s="131"/>
      <c r="M217" s="131"/>
      <c r="N217" s="131"/>
      <c r="O217" s="131"/>
      <c r="P217" s="131"/>
      <c r="Q217" s="131"/>
      <c r="R217" s="131"/>
      <c r="S217" s="131"/>
      <c r="T217" s="131"/>
      <c r="U217" s="131"/>
      <c r="V217" s="131"/>
      <c r="W217" s="131"/>
      <c r="X217" s="131"/>
      <c r="Y217" s="131"/>
      <c r="Z217" s="131"/>
      <c r="AA217" s="131"/>
      <c r="AB217" s="131"/>
      <c r="AC217" s="131"/>
      <c r="AD217" s="131"/>
      <c r="AE217" s="131"/>
      <c r="AF217" s="131"/>
      <c r="AG217" s="131"/>
      <c r="AH217" s="131"/>
      <c r="AI217" s="131"/>
      <c r="AJ217" s="131"/>
      <c r="AK217" s="131"/>
      <c r="AL217" s="131"/>
      <c r="AM217" s="131"/>
      <c r="AN217" s="131"/>
      <c r="AO217" s="131"/>
    </row>
    <row r="218" ht="15.75" customHeight="1">
      <c r="A218" s="131"/>
      <c r="B218" s="131"/>
      <c r="C218" s="131"/>
      <c r="D218" s="131"/>
      <c r="E218" s="131"/>
      <c r="F218" s="131"/>
      <c r="G218" s="131"/>
      <c r="H218" s="131"/>
      <c r="I218" s="131"/>
      <c r="J218" s="131"/>
      <c r="K218" s="131"/>
      <c r="L218" s="131"/>
      <c r="M218" s="131"/>
      <c r="N218" s="131"/>
      <c r="O218" s="131"/>
      <c r="P218" s="131"/>
      <c r="Q218" s="131"/>
      <c r="R218" s="131"/>
      <c r="S218" s="131"/>
      <c r="T218" s="131"/>
      <c r="U218" s="131"/>
      <c r="V218" s="131"/>
      <c r="W218" s="131"/>
      <c r="X218" s="131"/>
      <c r="Y218" s="131"/>
      <c r="Z218" s="131"/>
      <c r="AA218" s="131"/>
      <c r="AB218" s="131"/>
      <c r="AC218" s="131"/>
      <c r="AD218" s="131"/>
      <c r="AE218" s="131"/>
      <c r="AF218" s="131"/>
      <c r="AG218" s="131"/>
      <c r="AH218" s="131"/>
      <c r="AI218" s="131"/>
      <c r="AJ218" s="131"/>
      <c r="AK218" s="131"/>
      <c r="AL218" s="131"/>
      <c r="AM218" s="131"/>
      <c r="AN218" s="131"/>
      <c r="AO218" s="131"/>
    </row>
    <row r="219" ht="15.75" customHeight="1">
      <c r="A219" s="131"/>
      <c r="B219" s="131"/>
      <c r="C219" s="131"/>
      <c r="D219" s="131"/>
      <c r="E219" s="131"/>
      <c r="F219" s="131"/>
      <c r="G219" s="131"/>
      <c r="H219" s="131"/>
      <c r="I219" s="131"/>
      <c r="J219" s="131"/>
      <c r="K219" s="131"/>
      <c r="L219" s="131"/>
      <c r="M219" s="131"/>
      <c r="N219" s="131"/>
      <c r="O219" s="131"/>
      <c r="P219" s="131"/>
      <c r="Q219" s="131"/>
      <c r="R219" s="131"/>
      <c r="S219" s="131"/>
      <c r="T219" s="131"/>
      <c r="U219" s="131"/>
      <c r="V219" s="131"/>
      <c r="W219" s="131"/>
      <c r="X219" s="131"/>
      <c r="Y219" s="131"/>
      <c r="Z219" s="131"/>
      <c r="AA219" s="131"/>
      <c r="AB219" s="131"/>
      <c r="AC219" s="131"/>
      <c r="AD219" s="131"/>
      <c r="AE219" s="131"/>
      <c r="AF219" s="131"/>
      <c r="AG219" s="131"/>
      <c r="AH219" s="131"/>
      <c r="AI219" s="131"/>
      <c r="AJ219" s="131"/>
      <c r="AK219" s="131"/>
      <c r="AL219" s="131"/>
      <c r="AM219" s="131"/>
      <c r="AN219" s="131"/>
      <c r="AO219" s="131"/>
    </row>
    <row r="220" ht="15.75" customHeight="1">
      <c r="A220" s="131"/>
      <c r="B220" s="131"/>
      <c r="C220" s="131"/>
      <c r="D220" s="131"/>
      <c r="E220" s="131"/>
      <c r="F220" s="131"/>
      <c r="G220" s="131"/>
      <c r="H220" s="131"/>
      <c r="I220" s="131"/>
      <c r="J220" s="131"/>
      <c r="K220" s="131"/>
      <c r="L220" s="131"/>
      <c r="M220" s="131"/>
      <c r="N220" s="131"/>
      <c r="O220" s="131"/>
      <c r="P220" s="131"/>
      <c r="Q220" s="131"/>
      <c r="R220" s="131"/>
      <c r="S220" s="131"/>
      <c r="T220" s="131"/>
      <c r="U220" s="131"/>
      <c r="V220" s="131"/>
      <c r="W220" s="131"/>
      <c r="X220" s="131"/>
      <c r="Y220" s="131"/>
      <c r="Z220" s="131"/>
      <c r="AA220" s="131"/>
      <c r="AB220" s="131"/>
      <c r="AC220" s="131"/>
      <c r="AD220" s="131"/>
      <c r="AE220" s="131"/>
      <c r="AF220" s="131"/>
      <c r="AG220" s="131"/>
      <c r="AH220" s="131"/>
      <c r="AI220" s="131"/>
      <c r="AJ220" s="131"/>
      <c r="AK220" s="131"/>
      <c r="AL220" s="131"/>
      <c r="AM220" s="131"/>
      <c r="AN220" s="131"/>
      <c r="AO220" s="13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L1"/>
    <mergeCell ref="A11:B11"/>
    <mergeCell ref="A12:B12"/>
  </mergeCells>
  <conditionalFormatting sqref="A13:A18">
    <cfRule type="beginsWith" dxfId="0" priority="1" operator="beginsWith" text="P">
      <formula>LEFT((A13),LEN("P"))=("P")</formula>
    </cfRule>
  </conditionalFormatting>
  <conditionalFormatting sqref="A13:A18">
    <cfRule type="containsText" dxfId="1" priority="2" operator="containsText" text="N-P">
      <formula>NOT(ISERROR(SEARCH(("N-P"),(A13))))</formula>
    </cfRule>
  </conditionalFormatting>
  <conditionalFormatting sqref="A13:A18">
    <cfRule type="containsText" dxfId="2" priority="3" operator="containsText" text="R">
      <formula>NOT(ISERROR(SEARCH(("R"),(A13))))</formula>
    </cfRule>
  </conditionalFormatting>
  <conditionalFormatting sqref="A13:A18">
    <cfRule type="containsText" dxfId="3" priority="4" operator="containsText" text="A-S">
      <formula>NOT(ISERROR(SEARCH(("A-S"),(A13))))</formula>
    </cfRule>
  </conditionalFormatting>
  <conditionalFormatting sqref="A13:A18">
    <cfRule type="beginsWith" dxfId="4" priority="5" operator="beginsWith" text="S">
      <formula>LEFT((A13),LEN("S"))=("S")</formula>
    </cfRule>
  </conditionalFormatting>
  <conditionalFormatting sqref="D3:D4">
    <cfRule type="beginsWith" dxfId="0" priority="6" operator="beginsWith" text="P">
      <formula>LEFT((D3),LEN("P"))=("P")</formula>
    </cfRule>
  </conditionalFormatting>
  <conditionalFormatting sqref="D3:D4">
    <cfRule type="containsText" dxfId="1" priority="7" operator="containsText" text="N-P">
      <formula>NOT(ISERROR(SEARCH(("N-P"),(D3))))</formula>
    </cfRule>
  </conditionalFormatting>
  <conditionalFormatting sqref="D3:D4">
    <cfRule type="containsText" dxfId="2" priority="8" operator="containsText" text="R">
      <formula>NOT(ISERROR(SEARCH(("R"),(D3))))</formula>
    </cfRule>
  </conditionalFormatting>
  <conditionalFormatting sqref="D3:D4">
    <cfRule type="containsText" dxfId="3" priority="9" operator="containsText" text="A-S">
      <formula>NOT(ISERROR(SEARCH(("A-S"),(D3))))</formula>
    </cfRule>
  </conditionalFormatting>
  <conditionalFormatting sqref="D3:D4">
    <cfRule type="beginsWith" dxfId="4" priority="10" operator="beginsWith" text="S">
      <formula>LEFT((D3),LEN("S"))=("S")</formula>
    </cfRule>
  </conditionalFormatting>
  <conditionalFormatting sqref="H3">
    <cfRule type="cellIs" dxfId="5" priority="11" operator="lessThan">
      <formula>45698</formula>
    </cfRule>
  </conditionalFormatting>
  <dataValidations>
    <dataValidation type="list" allowBlank="1" showErrorMessage="1" sqref="D3:D4">
      <formula1>'17025 SAL'!$A$207:$A$212</formula1>
    </dataValidation>
  </dataValidations>
  <hyperlinks>
    <hyperlink r:id="rId4" ref="U3"/>
    <hyperlink r:id="rId5" ref="M4"/>
    <hyperlink r:id="rId6" ref="N4"/>
    <hyperlink r:id="rId7" ref="U4"/>
  </hyperlinks>
  <printOptions/>
  <pageMargins bottom="0.75" footer="0.0" header="0.0" left="0.7" right="0.7" top="0.75"/>
  <pageSetup orientation="landscape"/>
  <drawing r:id="rId8"/>
  <legacy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5"/>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43.57"/>
    <col customWidth="1" min="2" max="2" width="40.71"/>
    <col customWidth="1" min="3" max="3" width="14.0"/>
    <col customWidth="1" min="4" max="4" width="11.29"/>
    <col customWidth="1" min="5" max="5" width="12.71"/>
    <col customWidth="1" min="6" max="6" width="18.57"/>
    <col customWidth="1" min="7" max="7" width="23.57"/>
    <col customWidth="1" min="8" max="8" width="21.0"/>
    <col customWidth="1" min="9" max="9" width="21.14"/>
    <col customWidth="1" min="10" max="10" width="19.57"/>
    <col customWidth="1" min="11" max="11" width="21.57"/>
    <col customWidth="1" min="12" max="12" width="41.86"/>
    <col customWidth="1" min="13" max="13" width="40.43"/>
    <col customWidth="1" min="14" max="14" width="37.29"/>
    <col customWidth="1" min="15" max="15" width="19.43"/>
    <col customWidth="1" min="16" max="16" width="17.0"/>
    <col customWidth="1" min="17" max="17" width="13.29"/>
    <col customWidth="1" min="18" max="18" width="42.14"/>
    <col customWidth="1" min="19" max="19" width="17.0"/>
    <col customWidth="1" min="20" max="20" width="22.29"/>
    <col customWidth="1" min="21" max="21" width="30.14"/>
    <col customWidth="1" min="22" max="22" width="39.71"/>
    <col customWidth="1" min="23" max="23" width="21.57"/>
    <col customWidth="1" min="24" max="24" width="19.57"/>
    <col customWidth="1" min="25" max="25" width="18.57"/>
    <col customWidth="1" min="26" max="26" width="30.0"/>
    <col customWidth="1" min="27" max="27" width="51.86"/>
    <col customWidth="1" min="28" max="28" width="26.43"/>
    <col customWidth="1" min="29" max="29" width="31.86"/>
    <col customWidth="1" min="30" max="30" width="27.29"/>
    <col customWidth="1" min="31" max="31" width="27.57"/>
    <col customWidth="1" min="32" max="32" width="16.71"/>
    <col customWidth="1" min="33" max="33" width="49.43"/>
    <col customWidth="1" min="34" max="34" width="12.29"/>
    <col customWidth="1" min="35" max="35" width="24.86"/>
    <col customWidth="1" min="36" max="36" width="30.57"/>
    <col customWidth="1" min="37" max="37" width="24.43"/>
    <col customWidth="1" min="38" max="38" width="25.0"/>
    <col customWidth="1" min="39" max="40" width="13.43"/>
    <col customWidth="1" min="41" max="41" width="12.71"/>
    <col customWidth="1" min="42" max="42" width="31.14"/>
    <col customWidth="1" min="43" max="43" width="9.0"/>
  </cols>
  <sheetData>
    <row r="1" ht="50.25" customHeight="1">
      <c r="A1" s="130"/>
      <c r="B1" s="14" t="s">
        <v>4248</v>
      </c>
      <c r="C1" s="10"/>
      <c r="D1" s="10"/>
      <c r="E1" s="10"/>
      <c r="F1" s="10"/>
      <c r="G1" s="10"/>
      <c r="H1" s="10"/>
      <c r="I1" s="10"/>
      <c r="J1" s="10"/>
      <c r="K1" s="15"/>
      <c r="L1" s="109"/>
      <c r="M1" s="109"/>
      <c r="N1" s="109"/>
      <c r="O1" s="109"/>
      <c r="P1" s="109"/>
      <c r="Q1" s="109"/>
      <c r="R1" s="109"/>
      <c r="S1" s="109"/>
      <c r="T1" s="109"/>
      <c r="U1" s="109"/>
      <c r="V1" s="109"/>
      <c r="W1" s="109"/>
      <c r="X1" s="109"/>
      <c r="Y1" s="109"/>
      <c r="Z1" s="109"/>
      <c r="AA1" s="109"/>
      <c r="AB1" s="131"/>
      <c r="AC1" s="109"/>
      <c r="AD1" s="109"/>
      <c r="AE1" s="109"/>
      <c r="AF1" s="109"/>
      <c r="AG1" s="109"/>
      <c r="AH1" s="109"/>
      <c r="AI1" s="109"/>
      <c r="AJ1" s="109"/>
      <c r="AK1" s="109"/>
    </row>
    <row r="2" ht="51.75" customHeight="1">
      <c r="A2" s="18" t="s">
        <v>8</v>
      </c>
      <c r="B2" s="18" t="s">
        <v>9</v>
      </c>
      <c r="C2" s="135" t="s">
        <v>10</v>
      </c>
      <c r="D2" s="135" t="s">
        <v>11</v>
      </c>
      <c r="E2" s="135" t="s">
        <v>12</v>
      </c>
      <c r="F2" s="135" t="s">
        <v>13</v>
      </c>
      <c r="G2" s="135" t="s">
        <v>14</v>
      </c>
      <c r="H2" s="135" t="s">
        <v>15</v>
      </c>
      <c r="I2" s="135" t="s">
        <v>16</v>
      </c>
      <c r="J2" s="135" t="s">
        <v>17</v>
      </c>
      <c r="K2" s="18" t="s">
        <v>18</v>
      </c>
      <c r="L2" s="135" t="s">
        <v>3278</v>
      </c>
      <c r="M2" s="135" t="s">
        <v>20</v>
      </c>
      <c r="N2" s="135" t="s">
        <v>21</v>
      </c>
      <c r="O2" s="135" t="s">
        <v>22</v>
      </c>
      <c r="P2" s="135" t="s">
        <v>23</v>
      </c>
      <c r="Q2" s="135" t="s">
        <v>24</v>
      </c>
      <c r="R2" s="135" t="s">
        <v>25</v>
      </c>
      <c r="S2" s="135" t="s">
        <v>26</v>
      </c>
      <c r="T2" s="135" t="s">
        <v>27</v>
      </c>
      <c r="U2" s="135" t="s">
        <v>28</v>
      </c>
      <c r="V2" s="135" t="s">
        <v>3279</v>
      </c>
      <c r="W2" s="135" t="s">
        <v>30</v>
      </c>
      <c r="X2" s="135" t="s">
        <v>31</v>
      </c>
      <c r="Y2" s="135" t="s">
        <v>32</v>
      </c>
      <c r="Z2" s="135" t="s">
        <v>33</v>
      </c>
      <c r="AA2" s="135" t="s">
        <v>34</v>
      </c>
      <c r="AB2" s="18" t="s">
        <v>35</v>
      </c>
      <c r="AC2" s="135" t="s">
        <v>36</v>
      </c>
      <c r="AD2" s="135" t="s">
        <v>37</v>
      </c>
      <c r="AE2" s="135" t="s">
        <v>38</v>
      </c>
      <c r="AF2" s="135" t="s">
        <v>39</v>
      </c>
      <c r="AG2" s="135" t="s">
        <v>40</v>
      </c>
      <c r="AH2" s="135" t="s">
        <v>41</v>
      </c>
      <c r="AI2" s="135" t="s">
        <v>42</v>
      </c>
      <c r="AJ2" s="135" t="s">
        <v>3280</v>
      </c>
      <c r="AK2" s="135" t="s">
        <v>44</v>
      </c>
      <c r="AL2" s="135" t="s">
        <v>45</v>
      </c>
      <c r="AM2" s="136"/>
      <c r="AN2" s="136"/>
      <c r="AO2" s="136"/>
      <c r="AP2" s="136"/>
      <c r="AQ2" s="136"/>
    </row>
    <row r="3" ht="60.0" customHeight="1">
      <c r="A3" s="26" t="s">
        <v>4249</v>
      </c>
      <c r="B3" s="26" t="s">
        <v>3702</v>
      </c>
      <c r="C3" s="26" t="s">
        <v>4250</v>
      </c>
      <c r="D3" s="111" t="s">
        <v>48</v>
      </c>
      <c r="E3" s="57" t="s">
        <v>96</v>
      </c>
      <c r="F3" s="57" t="s">
        <v>4251</v>
      </c>
      <c r="G3" s="57" t="s">
        <v>4251</v>
      </c>
      <c r="H3" s="22">
        <v>45147.0</v>
      </c>
      <c r="I3" s="22">
        <f>'15189 LM'!$H3+'17025 SAL'!$AN$1</f>
        <v>46607</v>
      </c>
      <c r="J3" s="22">
        <v>41220.0</v>
      </c>
      <c r="K3" s="57" t="s">
        <v>4252</v>
      </c>
      <c r="L3" s="57" t="s">
        <v>4253</v>
      </c>
      <c r="M3" s="57" t="s">
        <v>4254</v>
      </c>
      <c r="N3" s="57" t="s">
        <v>4255</v>
      </c>
      <c r="O3" s="57" t="s">
        <v>4256</v>
      </c>
      <c r="P3" s="57" t="s">
        <v>324</v>
      </c>
      <c r="Q3" s="57" t="s">
        <v>55</v>
      </c>
      <c r="R3" s="57" t="s">
        <v>4257</v>
      </c>
      <c r="S3" s="57" t="s">
        <v>57</v>
      </c>
      <c r="T3" s="57">
        <v>4.000042149E9</v>
      </c>
      <c r="U3" s="112" t="str">
        <f>HYPERLINK("http://www.laboratorioclinicoucr.com/","www.laboratorioclinicoucr.com")</f>
        <v>www.laboratorioclinicoucr.com</v>
      </c>
      <c r="V3" s="20" t="s">
        <v>144</v>
      </c>
      <c r="W3" s="20" t="s">
        <v>145</v>
      </c>
      <c r="X3" s="20" t="s">
        <v>62</v>
      </c>
      <c r="Y3" s="26" t="s">
        <v>63</v>
      </c>
      <c r="Z3" s="20" t="s">
        <v>146</v>
      </c>
      <c r="AA3" s="57" t="s">
        <v>4257</v>
      </c>
      <c r="AB3" s="20"/>
      <c r="AC3" s="57" t="s">
        <v>4258</v>
      </c>
      <c r="AD3" s="57" t="s">
        <v>4259</v>
      </c>
      <c r="AE3" s="57" t="s">
        <v>134</v>
      </c>
      <c r="AF3" s="57" t="s">
        <v>4260</v>
      </c>
      <c r="AG3" s="57" t="s">
        <v>4261</v>
      </c>
      <c r="AH3" s="57" t="s">
        <v>4262</v>
      </c>
      <c r="AI3" s="112" t="str">
        <f>HYPERLINK("mailto:juliana.porras@lcucr.com","juliana.porras@lcucr.com")</f>
        <v>juliana.porras@lcucr.com</v>
      </c>
      <c r="AJ3" s="57" t="s">
        <v>4263</v>
      </c>
      <c r="AK3" s="57" t="s">
        <v>153</v>
      </c>
      <c r="AL3" s="20" t="s">
        <v>4264</v>
      </c>
      <c r="AM3" s="114"/>
      <c r="AN3" s="114"/>
      <c r="AO3" s="114"/>
      <c r="AP3" s="114"/>
      <c r="AQ3" s="114"/>
    </row>
    <row r="4" ht="60.0" customHeight="1">
      <c r="A4" s="26" t="s">
        <v>4265</v>
      </c>
      <c r="B4" s="26" t="s">
        <v>4266</v>
      </c>
      <c r="C4" s="26" t="s">
        <v>4250</v>
      </c>
      <c r="D4" s="111" t="s">
        <v>48</v>
      </c>
      <c r="E4" s="57" t="s">
        <v>49</v>
      </c>
      <c r="F4" s="57" t="s">
        <v>4267</v>
      </c>
      <c r="G4" s="57" t="s">
        <v>4267</v>
      </c>
      <c r="H4" s="22">
        <v>45411.0</v>
      </c>
      <c r="I4" s="22">
        <f>'15189 LM'!$H4+'17025 SAL'!$AN$1</f>
        <v>46871</v>
      </c>
      <c r="J4" s="22">
        <v>41240.0</v>
      </c>
      <c r="K4" s="57" t="s">
        <v>4268</v>
      </c>
      <c r="L4" s="57" t="s">
        <v>4269</v>
      </c>
      <c r="M4" s="57" t="s">
        <v>4270</v>
      </c>
      <c r="N4" s="57" t="s">
        <v>4271</v>
      </c>
      <c r="O4" s="137" t="s">
        <v>4272</v>
      </c>
      <c r="P4" s="57" t="s">
        <v>4273</v>
      </c>
      <c r="Q4" s="57" t="s">
        <v>55</v>
      </c>
      <c r="R4" s="57" t="s">
        <v>4274</v>
      </c>
      <c r="S4" s="57" t="s">
        <v>57</v>
      </c>
      <c r="T4" s="57">
        <v>3.00204536314E11</v>
      </c>
      <c r="U4" s="112" t="str">
        <f>HYPERLINK("http://www.clinicabiblica.com/","www.clinicabiblica.com ")</f>
        <v>www.clinicabiblica.com </v>
      </c>
      <c r="V4" s="57" t="s">
        <v>4275</v>
      </c>
      <c r="W4" s="57">
        <v>1.0387038E8</v>
      </c>
      <c r="X4" s="57" t="s">
        <v>62</v>
      </c>
      <c r="Y4" s="57" t="s">
        <v>63</v>
      </c>
      <c r="Z4" s="57" t="s">
        <v>2504</v>
      </c>
      <c r="AA4" s="57" t="s">
        <v>4276</v>
      </c>
      <c r="AB4" s="20"/>
      <c r="AC4" s="57" t="s">
        <v>4277</v>
      </c>
      <c r="AD4" s="57" t="s">
        <v>4278</v>
      </c>
      <c r="AE4" s="57" t="s">
        <v>4279</v>
      </c>
      <c r="AF4" s="57" t="s">
        <v>4280</v>
      </c>
      <c r="AG4" s="57" t="s">
        <v>4274</v>
      </c>
      <c r="AH4" s="57" t="s">
        <v>4281</v>
      </c>
      <c r="AI4" s="112" t="str">
        <f>HYPERLINK("mailto:mcruz@clinicabiblica.com","mcruz@clinicabiblica.com ")</f>
        <v>mcruz@clinicabiblica.com </v>
      </c>
      <c r="AJ4" s="57" t="s">
        <v>4282</v>
      </c>
      <c r="AK4" s="57" t="s">
        <v>4265</v>
      </c>
      <c r="AL4" s="20" t="s">
        <v>4283</v>
      </c>
      <c r="AM4" s="114"/>
      <c r="AN4" s="114"/>
      <c r="AO4" s="114"/>
      <c r="AP4" s="114"/>
      <c r="AQ4" s="114"/>
    </row>
    <row r="5" ht="60.0" customHeight="1">
      <c r="A5" s="26" t="s">
        <v>4284</v>
      </c>
      <c r="B5" s="26" t="s">
        <v>4285</v>
      </c>
      <c r="C5" s="26" t="s">
        <v>4250</v>
      </c>
      <c r="D5" s="111" t="s">
        <v>48</v>
      </c>
      <c r="E5" s="57" t="s">
        <v>49</v>
      </c>
      <c r="F5" s="57" t="s">
        <v>4286</v>
      </c>
      <c r="G5" s="57" t="s">
        <v>4286</v>
      </c>
      <c r="H5" s="22">
        <v>45533.0</v>
      </c>
      <c r="I5" s="22" t="s">
        <v>324</v>
      </c>
      <c r="J5" s="22">
        <v>41408.0</v>
      </c>
      <c r="K5" s="57" t="s">
        <v>730</v>
      </c>
      <c r="L5" s="20" t="s">
        <v>1284</v>
      </c>
      <c r="M5" s="20" t="s">
        <v>1285</v>
      </c>
      <c r="N5" s="57" t="s">
        <v>1286</v>
      </c>
      <c r="O5" s="57" t="s">
        <v>1287</v>
      </c>
      <c r="P5" s="57" t="s">
        <v>1288</v>
      </c>
      <c r="Q5" s="57" t="s">
        <v>55</v>
      </c>
      <c r="R5" s="118" t="s">
        <v>4287</v>
      </c>
      <c r="S5" s="57" t="s">
        <v>57</v>
      </c>
      <c r="T5" s="57" t="s">
        <v>4288</v>
      </c>
      <c r="U5" s="112" t="str">
        <f>HYPERLINK("http://www.coopesalud.org;/","www.coopesalud.org;")</f>
        <v>www.coopesalud.org;</v>
      </c>
      <c r="V5" s="57" t="s">
        <v>1291</v>
      </c>
      <c r="W5" s="57" t="s">
        <v>1292</v>
      </c>
      <c r="X5" s="57" t="s">
        <v>1293</v>
      </c>
      <c r="Y5" s="57" t="s">
        <v>63</v>
      </c>
      <c r="Z5" s="57" t="s">
        <v>1294</v>
      </c>
      <c r="AA5" s="57" t="s">
        <v>4289</v>
      </c>
      <c r="AB5" s="20"/>
      <c r="AC5" s="57" t="s">
        <v>67</v>
      </c>
      <c r="AD5" s="57" t="s">
        <v>1296</v>
      </c>
      <c r="AE5" s="57" t="s">
        <v>1297</v>
      </c>
      <c r="AF5" s="57" t="s">
        <v>1287</v>
      </c>
      <c r="AG5" s="57" t="s">
        <v>4289</v>
      </c>
      <c r="AH5" s="57" t="s">
        <v>1288</v>
      </c>
      <c r="AI5" s="112" t="str">
        <f>HYPERLINK("mailto:mvega@coopesalud.org","mvega@coopesalud.org")</f>
        <v>mvega@coopesalud.org</v>
      </c>
      <c r="AJ5" s="57" t="s">
        <v>1298</v>
      </c>
      <c r="AK5" s="57" t="s">
        <v>4290</v>
      </c>
      <c r="AL5" s="20" t="s">
        <v>1300</v>
      </c>
      <c r="AM5" s="114"/>
      <c r="AN5" s="114"/>
      <c r="AO5" s="114"/>
      <c r="AP5" s="114"/>
      <c r="AQ5" s="114"/>
    </row>
    <row r="6" ht="60.0" customHeight="1">
      <c r="A6" s="20" t="s">
        <v>1500</v>
      </c>
      <c r="B6" s="20" t="s">
        <v>1500</v>
      </c>
      <c r="C6" s="26" t="s">
        <v>4250</v>
      </c>
      <c r="D6" s="111" t="s">
        <v>48</v>
      </c>
      <c r="E6" s="57" t="s">
        <v>49</v>
      </c>
      <c r="F6" s="57" t="s">
        <v>4291</v>
      </c>
      <c r="G6" s="57" t="s">
        <v>4291</v>
      </c>
      <c r="H6" s="22">
        <v>45770.0</v>
      </c>
      <c r="I6" s="22">
        <f>'15189 LM'!$H6+'17025 SAL'!$AN$1</f>
        <v>47230</v>
      </c>
      <c r="J6" s="22">
        <v>41653.0</v>
      </c>
      <c r="K6" s="57" t="s">
        <v>4292</v>
      </c>
      <c r="L6" s="57" t="s">
        <v>4293</v>
      </c>
      <c r="M6" s="57" t="s">
        <v>1503</v>
      </c>
      <c r="N6" s="57" t="s">
        <v>4294</v>
      </c>
      <c r="O6" s="57" t="s">
        <v>4295</v>
      </c>
      <c r="P6" s="57" t="s">
        <v>140</v>
      </c>
      <c r="Q6" s="57" t="s">
        <v>1135</v>
      </c>
      <c r="R6" s="57" t="s">
        <v>4296</v>
      </c>
      <c r="S6" s="57" t="s">
        <v>1137</v>
      </c>
      <c r="T6" s="57" t="s">
        <v>4297</v>
      </c>
      <c r="U6" s="57" t="s">
        <v>4298</v>
      </c>
      <c r="V6" s="57" t="s">
        <v>4299</v>
      </c>
      <c r="W6" s="57">
        <v>1.01128542E8</v>
      </c>
      <c r="X6" s="57" t="s">
        <v>304</v>
      </c>
      <c r="Y6" s="57" t="s">
        <v>4300</v>
      </c>
      <c r="Z6" s="57" t="s">
        <v>4301</v>
      </c>
      <c r="AA6" s="57" t="s">
        <v>4296</v>
      </c>
      <c r="AB6" s="20"/>
      <c r="AC6" s="57" t="s">
        <v>2095</v>
      </c>
      <c r="AD6" s="57" t="s">
        <v>1514</v>
      </c>
      <c r="AE6" s="57" t="s">
        <v>2829</v>
      </c>
      <c r="AF6" s="57" t="s">
        <v>1505</v>
      </c>
      <c r="AG6" s="57" t="s">
        <v>4296</v>
      </c>
      <c r="AH6" s="57" t="s">
        <v>140</v>
      </c>
      <c r="AI6" s="57" t="s">
        <v>4302</v>
      </c>
      <c r="AJ6" s="57" t="s">
        <v>4303</v>
      </c>
      <c r="AK6" s="57" t="s">
        <v>1500</v>
      </c>
      <c r="AL6" s="20" t="s">
        <v>4304</v>
      </c>
    </row>
    <row r="7" ht="60.0" customHeight="1">
      <c r="A7" s="20" t="s">
        <v>4305</v>
      </c>
      <c r="B7" s="20" t="s">
        <v>4306</v>
      </c>
      <c r="C7" s="26" t="s">
        <v>4250</v>
      </c>
      <c r="D7" s="111" t="s">
        <v>48</v>
      </c>
      <c r="E7" s="57" t="s">
        <v>49</v>
      </c>
      <c r="F7" s="57" t="s">
        <v>4307</v>
      </c>
      <c r="G7" s="57" t="s">
        <v>4307</v>
      </c>
      <c r="H7" s="22">
        <v>45434.0</v>
      </c>
      <c r="I7" s="22">
        <f>'15189 LM'!$H7+'17025 SAL'!$AN$1</f>
        <v>46894</v>
      </c>
      <c r="J7" s="22">
        <v>43510.0</v>
      </c>
      <c r="K7" s="57" t="s">
        <v>4308</v>
      </c>
      <c r="L7" s="57" t="s">
        <v>4309</v>
      </c>
      <c r="M7" s="57" t="s">
        <v>4310</v>
      </c>
      <c r="N7" s="57" t="s">
        <v>4311</v>
      </c>
      <c r="O7" s="57"/>
      <c r="P7" s="57"/>
      <c r="Q7" s="57" t="s">
        <v>2135</v>
      </c>
      <c r="R7" s="57"/>
      <c r="S7" s="57"/>
      <c r="T7" s="57" t="s">
        <v>4312</v>
      </c>
      <c r="U7" s="112" t="s">
        <v>4313</v>
      </c>
      <c r="V7" s="57" t="s">
        <v>4314</v>
      </c>
      <c r="W7" s="57" t="s">
        <v>4315</v>
      </c>
      <c r="X7" s="57" t="s">
        <v>957</v>
      </c>
      <c r="Y7" s="57" t="s">
        <v>63</v>
      </c>
      <c r="Z7" s="57" t="s">
        <v>327</v>
      </c>
      <c r="AA7" s="57" t="s">
        <v>4316</v>
      </c>
      <c r="AB7" s="20"/>
      <c r="AC7" s="57" t="s">
        <v>67</v>
      </c>
      <c r="AD7" s="57" t="s">
        <v>4317</v>
      </c>
      <c r="AE7" s="57" t="s">
        <v>4318</v>
      </c>
      <c r="AF7" s="57" t="s">
        <v>4311</v>
      </c>
      <c r="AG7" s="57" t="s">
        <v>4316</v>
      </c>
      <c r="AH7" s="57" t="s">
        <v>4319</v>
      </c>
      <c r="AI7" s="112" t="s">
        <v>4320</v>
      </c>
      <c r="AJ7" s="57" t="s">
        <v>4321</v>
      </c>
      <c r="AK7" s="57" t="s">
        <v>4322</v>
      </c>
      <c r="AL7" s="20"/>
      <c r="AM7" s="114"/>
      <c r="AN7" s="114"/>
      <c r="AO7" s="114"/>
      <c r="AP7" s="114"/>
      <c r="AQ7" s="114"/>
      <c r="AR7" s="114"/>
      <c r="AS7" s="114"/>
    </row>
    <row r="8" ht="60.0" customHeight="1">
      <c r="A8" s="26" t="s">
        <v>4323</v>
      </c>
      <c r="B8" s="26" t="s">
        <v>4324</v>
      </c>
      <c r="C8" s="26" t="s">
        <v>4250</v>
      </c>
      <c r="D8" s="111" t="s">
        <v>2027</v>
      </c>
      <c r="E8" s="57" t="s">
        <v>49</v>
      </c>
      <c r="F8" s="57" t="s">
        <v>4325</v>
      </c>
      <c r="G8" s="57"/>
      <c r="H8" s="22">
        <v>44668.0</v>
      </c>
      <c r="I8" s="22">
        <f>'15189 LM'!$H8+'17025 SAL'!$AN$1</f>
        <v>46128</v>
      </c>
      <c r="J8" s="22"/>
      <c r="K8" s="57"/>
      <c r="L8" s="57" t="s">
        <v>4326</v>
      </c>
      <c r="M8" s="57" t="s">
        <v>4327</v>
      </c>
      <c r="N8" s="57"/>
      <c r="O8" s="57" t="s">
        <v>4328</v>
      </c>
      <c r="P8" s="57" t="s">
        <v>4328</v>
      </c>
      <c r="Q8" s="57" t="s">
        <v>55</v>
      </c>
      <c r="R8" s="57" t="s">
        <v>4329</v>
      </c>
      <c r="S8" s="57" t="s">
        <v>121</v>
      </c>
      <c r="T8" s="57" t="s">
        <v>4330</v>
      </c>
      <c r="U8" s="112" t="s">
        <v>4331</v>
      </c>
      <c r="V8" s="57" t="s">
        <v>4332</v>
      </c>
      <c r="W8" s="57">
        <v>1.06860149E8</v>
      </c>
      <c r="X8" s="57" t="s">
        <v>62</v>
      </c>
      <c r="Y8" s="57" t="s">
        <v>63</v>
      </c>
      <c r="Z8" s="57" t="s">
        <v>4333</v>
      </c>
      <c r="AA8" s="57" t="s">
        <v>4329</v>
      </c>
      <c r="AB8" s="20"/>
      <c r="AC8" s="57" t="s">
        <v>2173</v>
      </c>
      <c r="AD8" s="57" t="s">
        <v>4334</v>
      </c>
      <c r="AE8" s="57" t="s">
        <v>4335</v>
      </c>
      <c r="AF8" s="57" t="s">
        <v>4328</v>
      </c>
      <c r="AG8" s="57" t="s">
        <v>4329</v>
      </c>
      <c r="AH8" s="57" t="s">
        <v>4328</v>
      </c>
      <c r="AI8" s="112" t="s">
        <v>4336</v>
      </c>
      <c r="AJ8" s="57" t="s">
        <v>4337</v>
      </c>
      <c r="AK8" s="57" t="s">
        <v>4324</v>
      </c>
      <c r="AL8" s="20"/>
      <c r="AM8" s="114"/>
      <c r="AN8" s="114"/>
      <c r="AO8" s="114"/>
      <c r="AP8" s="114"/>
      <c r="AQ8" s="114"/>
      <c r="AR8" s="114"/>
      <c r="AS8" s="114"/>
    </row>
    <row r="9" ht="60.0" customHeight="1">
      <c r="A9" s="26" t="s">
        <v>4338</v>
      </c>
      <c r="B9" s="26" t="s">
        <v>4339</v>
      </c>
      <c r="C9" s="26" t="s">
        <v>4250</v>
      </c>
      <c r="D9" s="111" t="s">
        <v>2027</v>
      </c>
      <c r="E9" s="57" t="s">
        <v>49</v>
      </c>
      <c r="F9" s="57" t="s">
        <v>4340</v>
      </c>
      <c r="G9" s="57"/>
      <c r="H9" s="22"/>
      <c r="I9" s="22"/>
      <c r="J9" s="22"/>
      <c r="K9" s="57"/>
      <c r="L9" s="57" t="s">
        <v>4341</v>
      </c>
      <c r="M9" s="112" t="s">
        <v>4342</v>
      </c>
      <c r="N9" s="112" t="s">
        <v>4343</v>
      </c>
      <c r="O9" s="57" t="s">
        <v>4344</v>
      </c>
      <c r="P9" s="57" t="s">
        <v>324</v>
      </c>
      <c r="Q9" s="57" t="s">
        <v>55</v>
      </c>
      <c r="R9" s="57" t="s">
        <v>4345</v>
      </c>
      <c r="S9" s="57" t="s">
        <v>57</v>
      </c>
      <c r="T9" s="57" t="s">
        <v>4346</v>
      </c>
      <c r="U9" s="57" t="s">
        <v>4347</v>
      </c>
      <c r="V9" s="57" t="s">
        <v>4341</v>
      </c>
      <c r="W9" s="57" t="s">
        <v>4348</v>
      </c>
      <c r="X9" s="57"/>
      <c r="Y9" s="57"/>
      <c r="Z9" s="57"/>
      <c r="AA9" s="57"/>
      <c r="AB9" s="20"/>
      <c r="AC9" s="57"/>
      <c r="AD9" s="57"/>
      <c r="AE9" s="57"/>
      <c r="AF9" s="57"/>
      <c r="AG9" s="57"/>
      <c r="AH9" s="57"/>
      <c r="AI9" s="57"/>
      <c r="AJ9" s="57"/>
      <c r="AK9" s="57"/>
      <c r="AL9" s="20"/>
      <c r="AM9" s="138"/>
      <c r="AN9" s="138"/>
      <c r="AO9" s="138"/>
      <c r="AP9" s="138"/>
      <c r="AQ9" s="138"/>
      <c r="AR9" s="114"/>
      <c r="AS9" s="114"/>
    </row>
    <row r="10" ht="60.0" customHeight="1">
      <c r="A10" s="20" t="s">
        <v>4349</v>
      </c>
      <c r="B10" s="20" t="s">
        <v>196</v>
      </c>
      <c r="C10" s="26" t="s">
        <v>4250</v>
      </c>
      <c r="D10" s="111" t="s">
        <v>48</v>
      </c>
      <c r="E10" s="57" t="s">
        <v>49</v>
      </c>
      <c r="F10" s="57" t="s">
        <v>4350</v>
      </c>
      <c r="G10" s="57" t="s">
        <v>4350</v>
      </c>
      <c r="H10" s="22">
        <v>45190.0</v>
      </c>
      <c r="I10" s="22">
        <f>'15189 LM'!$H10+'17025 SAL'!$AN$1</f>
        <v>46650</v>
      </c>
      <c r="J10" s="22">
        <v>45454.0</v>
      </c>
      <c r="K10" s="57"/>
      <c r="L10" s="57" t="s">
        <v>198</v>
      </c>
      <c r="M10" s="112" t="s">
        <v>199</v>
      </c>
      <c r="N10" s="26" t="s">
        <v>200</v>
      </c>
      <c r="O10" s="20" t="s">
        <v>201</v>
      </c>
      <c r="P10" s="57" t="s">
        <v>208</v>
      </c>
      <c r="Q10" s="57" t="s">
        <v>55</v>
      </c>
      <c r="R10" s="57" t="s">
        <v>202</v>
      </c>
      <c r="S10" s="57" t="s">
        <v>57</v>
      </c>
      <c r="T10" s="57" t="s">
        <v>203</v>
      </c>
      <c r="U10" s="112" t="s">
        <v>204</v>
      </c>
      <c r="V10" s="57" t="s">
        <v>4351</v>
      </c>
      <c r="W10" s="57" t="s">
        <v>4352</v>
      </c>
      <c r="X10" s="57" t="s">
        <v>62</v>
      </c>
      <c r="Y10" s="57" t="s">
        <v>63</v>
      </c>
      <c r="Z10" s="57" t="s">
        <v>4353</v>
      </c>
      <c r="AA10" s="57" t="s">
        <v>202</v>
      </c>
      <c r="AB10" s="20"/>
      <c r="AC10" s="57" t="s">
        <v>67</v>
      </c>
      <c r="AD10" s="57" t="s">
        <v>198</v>
      </c>
      <c r="AE10" s="57" t="s">
        <v>206</v>
      </c>
      <c r="AF10" s="57" t="s">
        <v>207</v>
      </c>
      <c r="AG10" s="57" t="s">
        <v>202</v>
      </c>
      <c r="AH10" s="57"/>
      <c r="AI10" s="57" t="s">
        <v>4354</v>
      </c>
      <c r="AJ10" s="57" t="s">
        <v>209</v>
      </c>
      <c r="AK10" s="57" t="s">
        <v>210</v>
      </c>
      <c r="AL10" s="20"/>
      <c r="AM10" s="138"/>
      <c r="AN10" s="138"/>
      <c r="AO10" s="138"/>
      <c r="AP10" s="138"/>
      <c r="AQ10" s="138"/>
      <c r="AR10" s="114"/>
      <c r="AS10" s="114"/>
    </row>
    <row r="11" ht="60.0" customHeight="1">
      <c r="A11" s="20" t="s">
        <v>4355</v>
      </c>
      <c r="B11" s="20" t="s">
        <v>4356</v>
      </c>
      <c r="C11" s="26" t="s">
        <v>4250</v>
      </c>
      <c r="D11" s="111" t="s">
        <v>48</v>
      </c>
      <c r="E11" s="57" t="s">
        <v>49</v>
      </c>
      <c r="F11" s="57" t="s">
        <v>4357</v>
      </c>
      <c r="G11" s="57" t="s">
        <v>4357</v>
      </c>
      <c r="H11" s="22">
        <v>45259.0</v>
      </c>
      <c r="I11" s="22">
        <f>'15189 LM'!$H11+'17025 SAL'!$AN$1</f>
        <v>46719</v>
      </c>
      <c r="J11" s="22">
        <v>45712.0</v>
      </c>
      <c r="K11" s="57"/>
      <c r="L11" s="57" t="s">
        <v>4358</v>
      </c>
      <c r="M11" s="57" t="s">
        <v>4359</v>
      </c>
      <c r="N11" s="112" t="s">
        <v>4360</v>
      </c>
      <c r="O11" s="57" t="s">
        <v>4361</v>
      </c>
      <c r="P11" s="57" t="s">
        <v>140</v>
      </c>
      <c r="Q11" s="57" t="s">
        <v>55</v>
      </c>
      <c r="R11" s="57" t="s">
        <v>4362</v>
      </c>
      <c r="S11" s="57" t="s">
        <v>57</v>
      </c>
      <c r="T11" s="57" t="s">
        <v>4363</v>
      </c>
      <c r="U11" s="112" t="s">
        <v>4364</v>
      </c>
      <c r="V11" s="57" t="s">
        <v>4365</v>
      </c>
      <c r="W11" s="57" t="s">
        <v>4366</v>
      </c>
      <c r="X11" s="57" t="s">
        <v>62</v>
      </c>
      <c r="Y11" s="57" t="s">
        <v>264</v>
      </c>
      <c r="Z11" s="57" t="s">
        <v>4353</v>
      </c>
      <c r="AA11" s="57" t="s">
        <v>4367</v>
      </c>
      <c r="AB11" s="20"/>
      <c r="AC11" s="57" t="s">
        <v>67</v>
      </c>
      <c r="AD11" s="57" t="s">
        <v>3075</v>
      </c>
      <c r="AE11" s="57" t="s">
        <v>4368</v>
      </c>
      <c r="AF11" s="57" t="s">
        <v>4369</v>
      </c>
      <c r="AG11" s="57" t="s">
        <v>4367</v>
      </c>
      <c r="AH11" s="57" t="s">
        <v>140</v>
      </c>
      <c r="AI11" s="112" t="s">
        <v>4370</v>
      </c>
      <c r="AJ11" s="57" t="s">
        <v>4371</v>
      </c>
      <c r="AK11" s="57" t="s">
        <v>4372</v>
      </c>
      <c r="AL11" s="20"/>
      <c r="AM11" s="138"/>
      <c r="AN11" s="138"/>
      <c r="AO11" s="138"/>
      <c r="AP11" s="138"/>
      <c r="AQ11" s="138"/>
    </row>
    <row r="12" ht="60.0" customHeight="1">
      <c r="A12" s="20" t="s">
        <v>4373</v>
      </c>
      <c r="B12" s="20" t="s">
        <v>4324</v>
      </c>
      <c r="C12" s="26" t="s">
        <v>4250</v>
      </c>
      <c r="D12" s="111" t="s">
        <v>2027</v>
      </c>
      <c r="E12" s="57" t="s">
        <v>49</v>
      </c>
      <c r="F12" s="57" t="s">
        <v>4374</v>
      </c>
      <c r="G12" s="57"/>
      <c r="H12" s="22">
        <v>45383.0</v>
      </c>
      <c r="I12" s="22">
        <f>'15189 LM'!$H12+'17025 SAL'!$AN$1</f>
        <v>46843</v>
      </c>
      <c r="J12" s="22"/>
      <c r="K12" s="57"/>
      <c r="L12" s="57" t="s">
        <v>4375</v>
      </c>
      <c r="M12" s="57" t="s">
        <v>4376</v>
      </c>
      <c r="N12" s="57" t="s">
        <v>4377</v>
      </c>
      <c r="O12" s="57">
        <v>2.5627E7</v>
      </c>
      <c r="P12" s="57"/>
      <c r="Q12" s="57" t="s">
        <v>55</v>
      </c>
      <c r="R12" s="57" t="s">
        <v>4378</v>
      </c>
      <c r="S12" s="57" t="s">
        <v>121</v>
      </c>
      <c r="T12" s="57">
        <v>3.00419931E9</v>
      </c>
      <c r="U12" s="57" t="s">
        <v>4379</v>
      </c>
      <c r="V12" s="57" t="s">
        <v>4380</v>
      </c>
      <c r="W12" s="57">
        <v>1.06860149E8</v>
      </c>
      <c r="X12" s="57" t="s">
        <v>62</v>
      </c>
      <c r="Y12" s="57" t="s">
        <v>63</v>
      </c>
      <c r="Z12" s="57" t="s">
        <v>4381</v>
      </c>
      <c r="AA12" s="57" t="s">
        <v>4378</v>
      </c>
      <c r="AB12" s="20"/>
      <c r="AC12" s="57" t="s">
        <v>67</v>
      </c>
      <c r="AD12" s="57" t="s">
        <v>4382</v>
      </c>
      <c r="AE12" s="57" t="s">
        <v>4383</v>
      </c>
      <c r="AF12" s="57" t="s">
        <v>4328</v>
      </c>
      <c r="AG12" s="57" t="s">
        <v>4384</v>
      </c>
      <c r="AH12" s="57"/>
      <c r="AI12" s="57" t="s">
        <v>4385</v>
      </c>
      <c r="AJ12" s="57" t="s">
        <v>4386</v>
      </c>
      <c r="AK12" s="57" t="s">
        <v>4387</v>
      </c>
      <c r="AL12" s="20" t="s">
        <v>4388</v>
      </c>
      <c r="AM12" s="139"/>
      <c r="AN12" s="139"/>
      <c r="AO12" s="140"/>
      <c r="AP12" s="140"/>
      <c r="AQ12" s="140"/>
    </row>
    <row r="13" ht="60.0" customHeight="1">
      <c r="A13" s="20" t="s">
        <v>4389</v>
      </c>
      <c r="B13" s="20" t="s">
        <v>4390</v>
      </c>
      <c r="C13" s="26" t="s">
        <v>4250</v>
      </c>
      <c r="D13" s="111" t="s">
        <v>2911</v>
      </c>
      <c r="E13" s="57" t="s">
        <v>49</v>
      </c>
      <c r="F13" s="57" t="s">
        <v>4391</v>
      </c>
      <c r="G13" s="57"/>
      <c r="H13" s="22"/>
      <c r="I13" s="22"/>
      <c r="J13" s="22"/>
      <c r="K13" s="57"/>
      <c r="L13" s="57" t="s">
        <v>4392</v>
      </c>
      <c r="M13" s="57" t="s">
        <v>4393</v>
      </c>
      <c r="N13" s="57" t="s">
        <v>4394</v>
      </c>
      <c r="O13" s="57" t="s">
        <v>4395</v>
      </c>
      <c r="P13" s="57"/>
      <c r="Q13" s="57" t="s">
        <v>55</v>
      </c>
      <c r="R13" s="57" t="s">
        <v>4396</v>
      </c>
      <c r="S13" s="57" t="s">
        <v>4397</v>
      </c>
      <c r="T13" s="57"/>
      <c r="U13" s="57" t="s">
        <v>734</v>
      </c>
      <c r="V13" s="57" t="s">
        <v>4392</v>
      </c>
      <c r="W13" s="57">
        <v>1.11170055E8</v>
      </c>
      <c r="X13" s="57" t="s">
        <v>4398</v>
      </c>
      <c r="Y13" s="57" t="s">
        <v>63</v>
      </c>
      <c r="Z13" s="57" t="s">
        <v>4399</v>
      </c>
      <c r="AA13" s="57" t="s">
        <v>4400</v>
      </c>
      <c r="AB13" s="20"/>
      <c r="AC13" s="57" t="s">
        <v>4401</v>
      </c>
      <c r="AD13" s="57" t="s">
        <v>4402</v>
      </c>
      <c r="AE13" s="57" t="s">
        <v>4403</v>
      </c>
      <c r="AF13" s="57">
        <v>2.7719208E7</v>
      </c>
      <c r="AG13" s="57" t="s">
        <v>4404</v>
      </c>
      <c r="AH13" s="57"/>
      <c r="AI13" s="112" t="s">
        <v>4405</v>
      </c>
      <c r="AJ13" s="57" t="s">
        <v>4406</v>
      </c>
      <c r="AK13" s="57" t="s">
        <v>4390</v>
      </c>
      <c r="AL13" s="20"/>
      <c r="AM13" s="139"/>
      <c r="AN13" s="139"/>
      <c r="AO13" s="140"/>
      <c r="AP13" s="140"/>
      <c r="AQ13" s="140"/>
    </row>
    <row r="14" ht="60.0" customHeight="1">
      <c r="A14" s="141" t="s">
        <v>4407</v>
      </c>
      <c r="B14" s="141" t="s">
        <v>4408</v>
      </c>
      <c r="C14" s="142" t="s">
        <v>4250</v>
      </c>
      <c r="D14" s="111" t="s">
        <v>2911</v>
      </c>
      <c r="E14" s="57" t="s">
        <v>49</v>
      </c>
      <c r="F14" s="57" t="s">
        <v>4409</v>
      </c>
      <c r="G14" s="57"/>
      <c r="H14" s="22">
        <v>45495.0</v>
      </c>
      <c r="I14" s="22" t="s">
        <v>140</v>
      </c>
      <c r="J14" s="22"/>
      <c r="K14" s="57"/>
      <c r="L14" s="57" t="s">
        <v>4410</v>
      </c>
      <c r="M14" s="112" t="s">
        <v>4411</v>
      </c>
      <c r="N14" s="112" t="s">
        <v>4412</v>
      </c>
      <c r="O14" s="57" t="s">
        <v>4413</v>
      </c>
      <c r="P14" s="57" t="s">
        <v>324</v>
      </c>
      <c r="Q14" s="57" t="s">
        <v>55</v>
      </c>
      <c r="R14" s="57" t="s">
        <v>4414</v>
      </c>
      <c r="S14" s="57" t="s">
        <v>104</v>
      </c>
      <c r="T14" s="57" t="s">
        <v>4415</v>
      </c>
      <c r="U14" s="57" t="s">
        <v>734</v>
      </c>
      <c r="V14" s="57" t="s">
        <v>4410</v>
      </c>
      <c r="W14" s="57">
        <v>1.09320758E8</v>
      </c>
      <c r="X14" s="57" t="s">
        <v>4398</v>
      </c>
      <c r="Y14" s="57" t="s">
        <v>63</v>
      </c>
      <c r="Z14" s="57" t="s">
        <v>1089</v>
      </c>
      <c r="AA14" s="57" t="s">
        <v>4414</v>
      </c>
      <c r="AB14" s="20"/>
      <c r="AC14" s="57" t="s">
        <v>3860</v>
      </c>
      <c r="AD14" s="57" t="s">
        <v>1143</v>
      </c>
      <c r="AE14" s="57" t="s">
        <v>4410</v>
      </c>
      <c r="AF14" s="57" t="s">
        <v>4413</v>
      </c>
      <c r="AG14" s="57" t="s">
        <v>4414</v>
      </c>
      <c r="AH14" s="57" t="s">
        <v>140</v>
      </c>
      <c r="AI14" s="112" t="s">
        <v>4416</v>
      </c>
      <c r="AJ14" s="57" t="s">
        <v>4417</v>
      </c>
      <c r="AK14" s="57" t="s">
        <v>4408</v>
      </c>
      <c r="AL14" s="20"/>
      <c r="AM14" s="139"/>
      <c r="AN14" s="139"/>
      <c r="AO14" s="140"/>
      <c r="AP14" s="140"/>
      <c r="AQ14" s="140"/>
    </row>
    <row r="15" ht="60.0" customHeight="1">
      <c r="A15" s="20" t="s">
        <v>4418</v>
      </c>
      <c r="B15" s="20" t="s">
        <v>4419</v>
      </c>
      <c r="C15" s="26" t="s">
        <v>4250</v>
      </c>
      <c r="D15" s="21" t="s">
        <v>2911</v>
      </c>
      <c r="E15" s="57" t="s">
        <v>49</v>
      </c>
      <c r="F15" s="20" t="s">
        <v>4420</v>
      </c>
      <c r="G15" s="20"/>
      <c r="H15" s="22"/>
      <c r="I15" s="22"/>
      <c r="J15" s="22"/>
      <c r="K15" s="20"/>
      <c r="L15" s="20" t="s">
        <v>4421</v>
      </c>
      <c r="M15" s="20" t="s">
        <v>4422</v>
      </c>
      <c r="N15" s="20" t="s">
        <v>4423</v>
      </c>
      <c r="O15" s="20">
        <v>2.1041075E7</v>
      </c>
      <c r="P15" s="20">
        <v>2.2409052E7</v>
      </c>
      <c r="Q15" s="57" t="s">
        <v>55</v>
      </c>
      <c r="R15" s="20" t="s">
        <v>4424</v>
      </c>
      <c r="S15" s="20" t="s">
        <v>57</v>
      </c>
      <c r="T15" s="20" t="s">
        <v>4425</v>
      </c>
      <c r="U15" s="20" t="s">
        <v>4426</v>
      </c>
      <c r="V15" s="20" t="s">
        <v>4427</v>
      </c>
      <c r="W15" s="20">
        <v>1.07180997E8</v>
      </c>
      <c r="X15" s="20" t="s">
        <v>62</v>
      </c>
      <c r="Y15" s="57" t="s">
        <v>63</v>
      </c>
      <c r="Z15" s="20" t="s">
        <v>4428</v>
      </c>
      <c r="AA15" s="20" t="s">
        <v>4429</v>
      </c>
      <c r="AB15" s="20"/>
      <c r="AC15" s="20" t="s">
        <v>1055</v>
      </c>
      <c r="AD15" s="20" t="s">
        <v>4430</v>
      </c>
      <c r="AE15" s="20" t="s">
        <v>4431</v>
      </c>
      <c r="AF15" s="20">
        <v>2.1041075E7</v>
      </c>
      <c r="AG15" s="20" t="s">
        <v>4432</v>
      </c>
      <c r="AH15" s="20">
        <v>2.2409052E7</v>
      </c>
      <c r="AI15" s="20" t="s">
        <v>4433</v>
      </c>
      <c r="AJ15" s="20" t="s">
        <v>4434</v>
      </c>
      <c r="AK15" s="20" t="s">
        <v>4418</v>
      </c>
      <c r="AL15" s="20"/>
    </row>
    <row r="16" ht="60.0" customHeight="1">
      <c r="A16" s="20" t="s">
        <v>4435</v>
      </c>
      <c r="B16" s="20" t="s">
        <v>4436</v>
      </c>
      <c r="C16" s="26" t="s">
        <v>4250</v>
      </c>
      <c r="D16" s="21" t="s">
        <v>2911</v>
      </c>
      <c r="E16" s="57" t="s">
        <v>49</v>
      </c>
      <c r="F16" s="20" t="s">
        <v>4437</v>
      </c>
      <c r="G16" s="20"/>
      <c r="H16" s="22"/>
      <c r="I16" s="22"/>
      <c r="J16" s="22"/>
      <c r="K16" s="20"/>
      <c r="L16" s="20" t="s">
        <v>4438</v>
      </c>
      <c r="M16" s="20" t="s">
        <v>4439</v>
      </c>
      <c r="N16" s="20" t="s">
        <v>4440</v>
      </c>
      <c r="O16" s="20" t="s">
        <v>4441</v>
      </c>
      <c r="P16" s="20" t="s">
        <v>140</v>
      </c>
      <c r="Q16" s="20" t="s">
        <v>55</v>
      </c>
      <c r="R16" s="20" t="s">
        <v>4442</v>
      </c>
      <c r="S16" s="20" t="s">
        <v>57</v>
      </c>
      <c r="T16" s="20" t="s">
        <v>4443</v>
      </c>
      <c r="U16" s="57" t="s">
        <v>734</v>
      </c>
      <c r="V16" s="20" t="s">
        <v>4444</v>
      </c>
      <c r="W16" s="20">
        <v>3.03140983E8</v>
      </c>
      <c r="X16" s="20" t="s">
        <v>304</v>
      </c>
      <c r="Y16" s="20" t="s">
        <v>63</v>
      </c>
      <c r="Z16" s="20" t="s">
        <v>4445</v>
      </c>
      <c r="AA16" s="20" t="s">
        <v>4446</v>
      </c>
      <c r="AB16" s="20"/>
      <c r="AC16" s="20" t="s">
        <v>127</v>
      </c>
      <c r="AD16" s="20" t="s">
        <v>4447</v>
      </c>
      <c r="AE16" s="20" t="s">
        <v>4448</v>
      </c>
      <c r="AF16" s="20" t="s">
        <v>4449</v>
      </c>
      <c r="AG16" s="20" t="s">
        <v>4446</v>
      </c>
      <c r="AH16" s="57" t="s">
        <v>140</v>
      </c>
      <c r="AI16" s="20" t="s">
        <v>4450</v>
      </c>
      <c r="AJ16" s="20" t="s">
        <v>4451</v>
      </c>
      <c r="AK16" s="86" t="s">
        <v>4435</v>
      </c>
      <c r="AL16" s="20"/>
    </row>
    <row r="17" ht="60.0" customHeight="1">
      <c r="A17" s="20" t="s">
        <v>4373</v>
      </c>
      <c r="B17" s="20" t="s">
        <v>4324</v>
      </c>
      <c r="C17" s="26" t="s">
        <v>4250</v>
      </c>
      <c r="D17" s="21" t="s">
        <v>2911</v>
      </c>
      <c r="E17" s="57" t="s">
        <v>49</v>
      </c>
      <c r="F17" s="20" t="s">
        <v>4452</v>
      </c>
      <c r="G17" s="57"/>
      <c r="H17" s="22"/>
      <c r="I17" s="22"/>
      <c r="J17" s="22"/>
      <c r="K17" s="57"/>
      <c r="L17" s="57"/>
      <c r="M17" s="57"/>
      <c r="N17" s="57"/>
      <c r="O17" s="57"/>
      <c r="P17" s="57"/>
      <c r="Q17" s="57"/>
      <c r="R17" s="57"/>
      <c r="S17" s="57"/>
      <c r="T17" s="57"/>
      <c r="U17" s="57"/>
      <c r="V17" s="57"/>
      <c r="W17" s="57"/>
      <c r="X17" s="57"/>
      <c r="Y17" s="57"/>
      <c r="Z17" s="57"/>
      <c r="AA17" s="57"/>
      <c r="AB17" s="20"/>
      <c r="AC17" s="57"/>
      <c r="AD17" s="57"/>
      <c r="AE17" s="57"/>
      <c r="AF17" s="57"/>
      <c r="AG17" s="57"/>
      <c r="AH17" s="57"/>
      <c r="AI17" s="57"/>
      <c r="AJ17" s="57"/>
      <c r="AK17" s="57"/>
      <c r="AL17" s="20"/>
    </row>
    <row r="18" ht="60.0" customHeight="1">
      <c r="A18" s="143"/>
      <c r="B18" s="143"/>
      <c r="C18" s="26"/>
      <c r="D18" s="21"/>
      <c r="E18" s="20"/>
      <c r="F18" s="20"/>
      <c r="G18" s="20"/>
      <c r="H18" s="22"/>
      <c r="I18" s="22"/>
      <c r="J18" s="22"/>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AK18" s="86"/>
      <c r="AL18" s="20"/>
    </row>
    <row r="19" ht="15.75" customHeight="1">
      <c r="D19" s="127"/>
      <c r="G19" s="144"/>
      <c r="AB19" s="131"/>
      <c r="AH19" s="58"/>
      <c r="AI19" s="58"/>
    </row>
    <row r="20" ht="15.75" customHeight="1">
      <c r="D20" s="127"/>
      <c r="G20" s="144"/>
      <c r="AB20" s="131"/>
      <c r="AH20" s="58"/>
      <c r="AI20" s="58"/>
    </row>
    <row r="21" ht="15.75" customHeight="1">
      <c r="D21" s="127"/>
      <c r="G21" s="144"/>
      <c r="AB21" s="131"/>
      <c r="AH21" s="58"/>
      <c r="AI21" s="58"/>
    </row>
    <row r="22" ht="15.75" customHeight="1">
      <c r="D22" s="127"/>
      <c r="G22" s="144"/>
      <c r="AB22" s="131"/>
      <c r="AH22" s="58"/>
      <c r="AI22" s="58"/>
    </row>
    <row r="23" ht="15.75" customHeight="1">
      <c r="D23" s="127"/>
      <c r="G23" s="144"/>
      <c r="AB23" s="131"/>
      <c r="AH23" s="58"/>
      <c r="AI23" s="58"/>
    </row>
    <row r="24" ht="15.75" customHeight="1">
      <c r="D24" s="127"/>
      <c r="G24" s="144"/>
      <c r="AB24" s="131"/>
      <c r="AH24" s="58"/>
      <c r="AI24" s="58"/>
    </row>
    <row r="25" ht="15.75" customHeight="1">
      <c r="A25" s="101" t="s">
        <v>3266</v>
      </c>
      <c r="D25" s="127"/>
      <c r="G25" s="144"/>
      <c r="AB25" s="131"/>
      <c r="AH25" s="58"/>
      <c r="AI25" s="58"/>
    </row>
    <row r="26" ht="15.75" customHeight="1">
      <c r="A26" s="102" t="s">
        <v>11</v>
      </c>
      <c r="B26" s="103"/>
      <c r="D26" s="127"/>
      <c r="G26" s="144"/>
      <c r="AB26" s="131"/>
      <c r="AH26" s="58"/>
      <c r="AI26" s="58"/>
    </row>
    <row r="27" ht="15.75" customHeight="1">
      <c r="A27" s="21" t="s">
        <v>48</v>
      </c>
      <c r="B27" s="104" t="s">
        <v>3267</v>
      </c>
      <c r="D27" s="127"/>
      <c r="G27" s="144"/>
      <c r="AB27" s="131"/>
      <c r="AH27" s="58"/>
      <c r="AI27" s="58"/>
    </row>
    <row r="28" ht="15.75" customHeight="1">
      <c r="A28" s="21" t="s">
        <v>822</v>
      </c>
      <c r="B28" s="104" t="s">
        <v>3268</v>
      </c>
      <c r="D28" s="127"/>
      <c r="G28" s="144"/>
      <c r="AB28" s="131"/>
      <c r="AH28" s="58"/>
      <c r="AI28" s="58"/>
    </row>
    <row r="29" ht="15.75" customHeight="1">
      <c r="A29" s="21" t="s">
        <v>213</v>
      </c>
      <c r="B29" s="104" t="s">
        <v>3269</v>
      </c>
      <c r="D29" s="127"/>
      <c r="G29" s="144"/>
      <c r="AB29" s="131"/>
      <c r="AH29" s="58"/>
      <c r="AI29" s="58"/>
    </row>
    <row r="30" ht="15.75" customHeight="1">
      <c r="A30" s="21" t="s">
        <v>314</v>
      </c>
      <c r="B30" s="104" t="s">
        <v>3270</v>
      </c>
      <c r="D30" s="127"/>
      <c r="G30" s="144"/>
      <c r="AB30" s="131"/>
      <c r="AH30" s="58"/>
      <c r="AI30" s="58"/>
    </row>
    <row r="31" ht="15.75" customHeight="1">
      <c r="A31" s="21" t="s">
        <v>2027</v>
      </c>
      <c r="B31" s="104" t="s">
        <v>3271</v>
      </c>
      <c r="D31" s="127"/>
      <c r="G31" s="144"/>
      <c r="AB31" s="131"/>
      <c r="AH31" s="58"/>
      <c r="AI31" s="58"/>
    </row>
    <row r="32" ht="15.75" customHeight="1">
      <c r="A32" s="21" t="s">
        <v>2911</v>
      </c>
      <c r="B32" s="104" t="s">
        <v>3272</v>
      </c>
      <c r="D32" s="127"/>
      <c r="G32" s="144"/>
      <c r="AB32" s="131"/>
      <c r="AH32" s="58"/>
      <c r="AI32" s="58"/>
    </row>
    <row r="33" ht="15.75" customHeight="1">
      <c r="D33" s="127"/>
      <c r="G33" s="144"/>
      <c r="AB33" s="131"/>
      <c r="AH33" s="58"/>
      <c r="AI33" s="58"/>
    </row>
    <row r="34" ht="15.75" customHeight="1">
      <c r="D34" s="127"/>
      <c r="G34" s="144"/>
      <c r="AB34" s="131"/>
      <c r="AH34" s="58"/>
      <c r="AI34" s="58"/>
    </row>
    <row r="35" ht="15.75" customHeight="1">
      <c r="D35" s="127"/>
      <c r="G35" s="144"/>
      <c r="AB35" s="131"/>
      <c r="AH35" s="58"/>
      <c r="AI35" s="58"/>
    </row>
    <row r="36" ht="15.75" customHeight="1">
      <c r="D36" s="127"/>
      <c r="G36" s="144"/>
      <c r="AB36" s="131"/>
      <c r="AH36" s="58"/>
      <c r="AI36" s="58"/>
    </row>
    <row r="37" ht="15.75" customHeight="1">
      <c r="D37" s="127"/>
      <c r="G37" s="144"/>
      <c r="AB37" s="131"/>
      <c r="AH37" s="58"/>
      <c r="AI37" s="58"/>
    </row>
    <row r="38" ht="15.75" customHeight="1">
      <c r="D38" s="127"/>
      <c r="G38" s="144"/>
      <c r="AB38" s="131"/>
      <c r="AH38" s="58"/>
      <c r="AI38" s="58"/>
    </row>
    <row r="39" ht="15.75" customHeight="1">
      <c r="D39" s="127"/>
      <c r="G39" s="144"/>
      <c r="AB39" s="131"/>
      <c r="AH39" s="58"/>
      <c r="AI39" s="58"/>
    </row>
    <row r="40" ht="15.75" customHeight="1">
      <c r="D40" s="127"/>
      <c r="G40" s="144"/>
      <c r="AB40" s="131"/>
      <c r="AH40" s="58"/>
      <c r="AI40" s="58"/>
    </row>
    <row r="41" ht="15.75" customHeight="1">
      <c r="D41" s="127"/>
      <c r="G41" s="144"/>
      <c r="AB41" s="131"/>
      <c r="AH41" s="58"/>
      <c r="AI41" s="58"/>
    </row>
    <row r="42" ht="15.75" customHeight="1">
      <c r="D42" s="127"/>
      <c r="G42" s="144"/>
      <c r="AB42" s="131"/>
      <c r="AH42" s="58"/>
      <c r="AI42" s="58"/>
    </row>
    <row r="43" ht="15.75" customHeight="1">
      <c r="D43" s="127"/>
      <c r="G43" s="144"/>
      <c r="AB43" s="131"/>
      <c r="AH43" s="58"/>
      <c r="AI43" s="58"/>
    </row>
    <row r="44" ht="15.75" customHeight="1">
      <c r="D44" s="127"/>
      <c r="G44" s="144"/>
      <c r="AB44" s="131"/>
      <c r="AH44" s="58"/>
      <c r="AI44" s="58"/>
    </row>
    <row r="45" ht="15.75" customHeight="1">
      <c r="D45" s="127"/>
      <c r="G45" s="144"/>
      <c r="AB45" s="131"/>
      <c r="AH45" s="58"/>
      <c r="AI45" s="58"/>
    </row>
    <row r="46" ht="15.75" customHeight="1">
      <c r="D46" s="127"/>
      <c r="G46" s="144"/>
      <c r="AB46" s="131"/>
      <c r="AH46" s="58"/>
      <c r="AI46" s="58"/>
    </row>
    <row r="47" ht="15.75" customHeight="1">
      <c r="D47" s="127"/>
      <c r="G47" s="144"/>
      <c r="AB47" s="131"/>
      <c r="AH47" s="58"/>
      <c r="AI47" s="58"/>
    </row>
    <row r="48" ht="15.75" customHeight="1">
      <c r="D48" s="127"/>
      <c r="G48" s="144"/>
      <c r="AB48" s="131"/>
      <c r="AH48" s="58"/>
      <c r="AI48" s="58"/>
    </row>
    <row r="49" ht="15.75" customHeight="1">
      <c r="D49" s="127"/>
      <c r="G49" s="144"/>
      <c r="AB49" s="131"/>
      <c r="AH49" s="58"/>
      <c r="AI49" s="58"/>
    </row>
    <row r="50" ht="15.75" customHeight="1">
      <c r="D50" s="127"/>
      <c r="G50" s="144"/>
      <c r="AB50" s="131"/>
      <c r="AH50" s="58"/>
      <c r="AI50" s="58"/>
    </row>
    <row r="51" ht="15.75" customHeight="1">
      <c r="D51" s="127"/>
      <c r="G51" s="144"/>
      <c r="AB51" s="131"/>
      <c r="AH51" s="58"/>
      <c r="AI51" s="58"/>
    </row>
    <row r="52" ht="15.75" customHeight="1">
      <c r="D52" s="127"/>
      <c r="G52" s="144"/>
      <c r="AB52" s="131"/>
      <c r="AH52" s="58"/>
      <c r="AI52" s="58"/>
    </row>
    <row r="53" ht="15.75" customHeight="1">
      <c r="D53" s="127"/>
      <c r="G53" s="144"/>
      <c r="AB53" s="131"/>
      <c r="AH53" s="58"/>
      <c r="AI53" s="58"/>
    </row>
    <row r="54" ht="15.75" customHeight="1">
      <c r="D54" s="127"/>
      <c r="G54" s="144"/>
      <c r="AB54" s="131"/>
      <c r="AH54" s="58"/>
      <c r="AI54" s="58"/>
    </row>
    <row r="55" ht="15.75" customHeight="1">
      <c r="D55" s="127"/>
      <c r="G55" s="144"/>
      <c r="AB55" s="131"/>
      <c r="AH55" s="58"/>
      <c r="AI55" s="58"/>
    </row>
    <row r="56" ht="15.75" customHeight="1">
      <c r="D56" s="127"/>
      <c r="G56" s="144"/>
      <c r="AB56" s="131"/>
      <c r="AH56" s="58"/>
      <c r="AI56" s="58"/>
    </row>
    <row r="57" ht="15.75" customHeight="1">
      <c r="D57" s="127"/>
      <c r="G57" s="144"/>
      <c r="AB57" s="131"/>
      <c r="AH57" s="58"/>
      <c r="AI57" s="58"/>
    </row>
    <row r="58" ht="15.75" customHeight="1">
      <c r="D58" s="127"/>
      <c r="G58" s="144"/>
      <c r="AB58" s="131"/>
      <c r="AH58" s="58"/>
      <c r="AI58" s="58"/>
    </row>
    <row r="59" ht="15.75" customHeight="1">
      <c r="D59" s="127"/>
      <c r="G59" s="144"/>
      <c r="AB59" s="131"/>
      <c r="AH59" s="58"/>
      <c r="AI59" s="58"/>
    </row>
    <row r="60" ht="15.75" customHeight="1">
      <c r="D60" s="127"/>
      <c r="G60" s="144"/>
      <c r="AB60" s="131"/>
      <c r="AH60" s="58"/>
      <c r="AI60" s="58"/>
    </row>
    <row r="61" ht="15.75" customHeight="1">
      <c r="D61" s="127"/>
      <c r="G61" s="144"/>
      <c r="AB61" s="131"/>
      <c r="AH61" s="58"/>
      <c r="AI61" s="58"/>
    </row>
    <row r="62" ht="15.75" customHeight="1">
      <c r="D62" s="127"/>
      <c r="G62" s="144"/>
      <c r="AB62" s="131"/>
      <c r="AH62" s="58"/>
      <c r="AI62" s="58"/>
    </row>
    <row r="63" ht="15.75" customHeight="1">
      <c r="D63" s="127"/>
      <c r="G63" s="144"/>
      <c r="AB63" s="131"/>
      <c r="AH63" s="58"/>
      <c r="AI63" s="58"/>
    </row>
    <row r="64" ht="15.75" customHeight="1">
      <c r="D64" s="127"/>
      <c r="G64" s="144"/>
      <c r="AB64" s="131"/>
      <c r="AH64" s="58"/>
      <c r="AI64" s="58"/>
    </row>
    <row r="65" ht="15.75" customHeight="1">
      <c r="D65" s="127"/>
      <c r="G65" s="144"/>
      <c r="AB65" s="131"/>
      <c r="AH65" s="58"/>
      <c r="AI65" s="58"/>
    </row>
    <row r="66" ht="15.75" customHeight="1">
      <c r="D66" s="127"/>
      <c r="G66" s="144"/>
      <c r="AB66" s="131"/>
      <c r="AH66" s="58"/>
      <c r="AI66" s="58"/>
    </row>
    <row r="67" ht="15.75" customHeight="1">
      <c r="D67" s="127"/>
      <c r="G67" s="144"/>
      <c r="AB67" s="131"/>
      <c r="AH67" s="58"/>
      <c r="AI67" s="58"/>
    </row>
    <row r="68" ht="15.75" customHeight="1">
      <c r="D68" s="127"/>
      <c r="G68" s="144"/>
      <c r="AB68" s="131"/>
      <c r="AH68" s="58"/>
      <c r="AI68" s="58"/>
    </row>
    <row r="69" ht="15.75" customHeight="1">
      <c r="D69" s="127"/>
      <c r="G69" s="144"/>
      <c r="AB69" s="131"/>
      <c r="AH69" s="58"/>
      <c r="AI69" s="58"/>
    </row>
    <row r="70" ht="15.75" customHeight="1">
      <c r="D70" s="127"/>
      <c r="G70" s="144"/>
      <c r="AB70" s="131"/>
      <c r="AH70" s="58"/>
      <c r="AI70" s="58"/>
    </row>
    <row r="71" ht="15.75" customHeight="1">
      <c r="D71" s="127"/>
      <c r="G71" s="144"/>
      <c r="AB71" s="131"/>
      <c r="AH71" s="58"/>
      <c r="AI71" s="58"/>
    </row>
    <row r="72" ht="15.75" customHeight="1">
      <c r="D72" s="127"/>
      <c r="G72" s="144"/>
      <c r="AB72" s="131"/>
      <c r="AH72" s="58"/>
      <c r="AI72" s="58"/>
    </row>
    <row r="73" ht="15.75" customHeight="1">
      <c r="D73" s="127"/>
      <c r="G73" s="144"/>
      <c r="AB73" s="131"/>
      <c r="AH73" s="58"/>
      <c r="AI73" s="58"/>
    </row>
    <row r="74" ht="15.75" customHeight="1">
      <c r="D74" s="127"/>
      <c r="G74" s="144"/>
      <c r="AB74" s="131"/>
      <c r="AH74" s="58"/>
      <c r="AI74" s="58"/>
    </row>
    <row r="75" ht="15.75" customHeight="1">
      <c r="D75" s="127"/>
      <c r="G75" s="144"/>
      <c r="AB75" s="131"/>
      <c r="AH75" s="58"/>
      <c r="AI75" s="58"/>
    </row>
    <row r="76" ht="15.75" customHeight="1">
      <c r="D76" s="127"/>
      <c r="G76" s="144"/>
      <c r="AB76" s="131"/>
      <c r="AH76" s="58"/>
      <c r="AI76" s="58"/>
    </row>
    <row r="77" ht="15.75" customHeight="1">
      <c r="D77" s="127"/>
      <c r="G77" s="144"/>
      <c r="AB77" s="131"/>
      <c r="AH77" s="58"/>
      <c r="AI77" s="58"/>
    </row>
    <row r="78" ht="15.75" customHeight="1">
      <c r="D78" s="127"/>
      <c r="G78" s="144"/>
      <c r="AB78" s="131"/>
      <c r="AH78" s="58"/>
      <c r="AI78" s="58"/>
    </row>
    <row r="79" ht="15.75" customHeight="1">
      <c r="D79" s="127"/>
      <c r="G79" s="144"/>
      <c r="AB79" s="131"/>
      <c r="AH79" s="58"/>
      <c r="AI79" s="58"/>
    </row>
    <row r="80" ht="15.75" customHeight="1">
      <c r="D80" s="127"/>
      <c r="G80" s="144"/>
      <c r="AB80" s="131"/>
      <c r="AH80" s="58"/>
      <c r="AI80" s="58"/>
    </row>
    <row r="81" ht="15.75" customHeight="1">
      <c r="D81" s="127"/>
      <c r="G81" s="144"/>
      <c r="AB81" s="131"/>
      <c r="AH81" s="58"/>
      <c r="AI81" s="58"/>
    </row>
    <row r="82" ht="15.75" customHeight="1">
      <c r="D82" s="127"/>
      <c r="G82" s="144"/>
      <c r="AB82" s="131"/>
      <c r="AH82" s="58"/>
      <c r="AI82" s="58"/>
    </row>
    <row r="83" ht="15.75" customHeight="1">
      <c r="D83" s="127"/>
      <c r="G83" s="144"/>
      <c r="AB83" s="131"/>
      <c r="AH83" s="58"/>
      <c r="AI83" s="58"/>
    </row>
    <row r="84" ht="15.75" customHeight="1">
      <c r="D84" s="127"/>
      <c r="G84" s="144"/>
      <c r="AB84" s="131"/>
      <c r="AH84" s="58"/>
      <c r="AI84" s="58"/>
    </row>
    <row r="85" ht="15.75" customHeight="1">
      <c r="D85" s="127"/>
      <c r="G85" s="144"/>
      <c r="AB85" s="131"/>
      <c r="AH85" s="58"/>
      <c r="AI85" s="58"/>
    </row>
    <row r="86" ht="15.75" customHeight="1">
      <c r="D86" s="127"/>
      <c r="G86" s="144"/>
      <c r="AB86" s="131"/>
      <c r="AH86" s="58"/>
      <c r="AI86" s="58"/>
    </row>
    <row r="87" ht="15.75" customHeight="1">
      <c r="D87" s="127"/>
      <c r="G87" s="144"/>
      <c r="AB87" s="131"/>
      <c r="AH87" s="58"/>
      <c r="AI87" s="58"/>
    </row>
    <row r="88" ht="15.75" customHeight="1">
      <c r="D88" s="127"/>
      <c r="G88" s="144"/>
      <c r="AB88" s="131"/>
      <c r="AH88" s="58"/>
      <c r="AI88" s="58"/>
    </row>
    <row r="89" ht="15.75" customHeight="1">
      <c r="D89" s="127"/>
      <c r="G89" s="144"/>
      <c r="AB89" s="131"/>
      <c r="AH89" s="58"/>
      <c r="AI89" s="58"/>
    </row>
    <row r="90" ht="15.75" customHeight="1">
      <c r="D90" s="127"/>
      <c r="G90" s="144"/>
      <c r="AB90" s="131"/>
      <c r="AH90" s="58"/>
      <c r="AI90" s="58"/>
    </row>
    <row r="91" ht="15.75" customHeight="1">
      <c r="D91" s="127"/>
      <c r="G91" s="144"/>
      <c r="AB91" s="131"/>
      <c r="AH91" s="58"/>
      <c r="AI91" s="58"/>
    </row>
    <row r="92" ht="15.75" customHeight="1">
      <c r="D92" s="127"/>
      <c r="G92" s="144"/>
      <c r="AB92" s="131"/>
      <c r="AH92" s="58"/>
      <c r="AI92" s="58"/>
    </row>
    <row r="93" ht="15.75" customHeight="1">
      <c r="D93" s="127"/>
      <c r="G93" s="144"/>
      <c r="AB93" s="131"/>
      <c r="AH93" s="58"/>
      <c r="AI93" s="58"/>
    </row>
    <row r="94" ht="15.75" customHeight="1">
      <c r="D94" s="127"/>
      <c r="G94" s="144"/>
      <c r="AB94" s="131"/>
      <c r="AH94" s="58"/>
      <c r="AI94" s="58"/>
    </row>
    <row r="95" ht="15.75" customHeight="1">
      <c r="D95" s="127"/>
      <c r="G95" s="144"/>
      <c r="AB95" s="131"/>
      <c r="AH95" s="58"/>
      <c r="AI95" s="58"/>
    </row>
    <row r="96" ht="15.75" customHeight="1">
      <c r="D96" s="127"/>
      <c r="G96" s="144"/>
      <c r="AB96" s="131"/>
      <c r="AH96" s="58"/>
      <c r="AI96" s="58"/>
    </row>
    <row r="97" ht="15.75" customHeight="1">
      <c r="D97" s="127"/>
      <c r="G97" s="144"/>
      <c r="AB97" s="131"/>
      <c r="AH97" s="58"/>
      <c r="AI97" s="58"/>
    </row>
    <row r="98" ht="15.75" customHeight="1">
      <c r="D98" s="127"/>
      <c r="G98" s="144"/>
      <c r="AB98" s="131"/>
      <c r="AH98" s="58"/>
      <c r="AI98" s="58"/>
    </row>
    <row r="99" ht="15.75" customHeight="1">
      <c r="D99" s="127"/>
      <c r="G99" s="144"/>
      <c r="AB99" s="131"/>
      <c r="AH99" s="58"/>
      <c r="AI99" s="58"/>
    </row>
    <row r="100" ht="15.75" customHeight="1">
      <c r="D100" s="127"/>
      <c r="G100" s="144"/>
      <c r="AB100" s="131"/>
      <c r="AH100" s="58"/>
      <c r="AI100" s="58"/>
    </row>
    <row r="101" ht="15.75" customHeight="1">
      <c r="D101" s="127"/>
      <c r="G101" s="144"/>
      <c r="AB101" s="131"/>
      <c r="AH101" s="58"/>
      <c r="AI101" s="58"/>
    </row>
    <row r="102" ht="15.75" customHeight="1">
      <c r="D102" s="127"/>
      <c r="G102" s="144"/>
      <c r="AB102" s="131"/>
      <c r="AH102" s="58"/>
      <c r="AI102" s="58"/>
    </row>
    <row r="103" ht="15.75" customHeight="1">
      <c r="D103" s="127"/>
      <c r="G103" s="144"/>
      <c r="AB103" s="131"/>
      <c r="AH103" s="58"/>
      <c r="AI103" s="58"/>
    </row>
    <row r="104" ht="15.75" customHeight="1">
      <c r="D104" s="127"/>
      <c r="G104" s="144"/>
      <c r="AB104" s="131"/>
      <c r="AH104" s="58"/>
      <c r="AI104" s="58"/>
    </row>
    <row r="105" ht="15.75" customHeight="1">
      <c r="D105" s="127"/>
      <c r="G105" s="144"/>
      <c r="AB105" s="131"/>
      <c r="AH105" s="58"/>
      <c r="AI105" s="58"/>
    </row>
    <row r="106" ht="15.75" customHeight="1">
      <c r="D106" s="127"/>
      <c r="G106" s="144"/>
      <c r="AB106" s="131"/>
      <c r="AH106" s="58"/>
      <c r="AI106" s="58"/>
    </row>
    <row r="107" ht="15.75" customHeight="1">
      <c r="D107" s="127"/>
      <c r="G107" s="144"/>
      <c r="AB107" s="131"/>
      <c r="AH107" s="58"/>
      <c r="AI107" s="58"/>
    </row>
    <row r="108" ht="15.75" customHeight="1">
      <c r="D108" s="127"/>
      <c r="G108" s="144"/>
      <c r="AB108" s="131"/>
      <c r="AH108" s="58"/>
      <c r="AI108" s="58"/>
    </row>
    <row r="109" ht="15.75" customHeight="1">
      <c r="D109" s="127"/>
      <c r="G109" s="144"/>
      <c r="AB109" s="131"/>
      <c r="AH109" s="58"/>
      <c r="AI109" s="58"/>
    </row>
    <row r="110" ht="15.75" customHeight="1">
      <c r="D110" s="127"/>
      <c r="G110" s="144"/>
      <c r="AB110" s="131"/>
      <c r="AH110" s="58"/>
      <c r="AI110" s="58"/>
    </row>
    <row r="111" ht="15.75" customHeight="1">
      <c r="D111" s="127"/>
      <c r="G111" s="144"/>
      <c r="AB111" s="131"/>
      <c r="AH111" s="58"/>
      <c r="AI111" s="58"/>
    </row>
    <row r="112" ht="15.75" customHeight="1">
      <c r="D112" s="127"/>
      <c r="G112" s="144"/>
      <c r="AB112" s="131"/>
      <c r="AH112" s="58"/>
      <c r="AI112" s="58"/>
    </row>
    <row r="113" ht="15.75" customHeight="1">
      <c r="D113" s="127"/>
      <c r="G113" s="144"/>
      <c r="AB113" s="131"/>
      <c r="AH113" s="58"/>
      <c r="AI113" s="58"/>
    </row>
    <row r="114" ht="15.75" customHeight="1">
      <c r="D114" s="127"/>
      <c r="G114" s="144"/>
      <c r="AB114" s="131"/>
      <c r="AH114" s="58"/>
      <c r="AI114" s="58"/>
    </row>
    <row r="115" ht="15.75" customHeight="1">
      <c r="D115" s="127"/>
      <c r="G115" s="144"/>
      <c r="AB115" s="131"/>
      <c r="AH115" s="58"/>
      <c r="AI115" s="58"/>
    </row>
    <row r="116" ht="15.75" customHeight="1">
      <c r="D116" s="127"/>
      <c r="G116" s="144"/>
      <c r="AB116" s="131"/>
      <c r="AH116" s="58"/>
      <c r="AI116" s="58"/>
    </row>
    <row r="117" ht="15.75" customHeight="1">
      <c r="D117" s="127"/>
      <c r="G117" s="144"/>
      <c r="AB117" s="131"/>
      <c r="AH117" s="58"/>
      <c r="AI117" s="58"/>
    </row>
    <row r="118" ht="15.75" customHeight="1">
      <c r="D118" s="127"/>
      <c r="G118" s="144"/>
      <c r="AB118" s="131"/>
      <c r="AH118" s="58"/>
      <c r="AI118" s="58"/>
    </row>
    <row r="119" ht="15.75" customHeight="1">
      <c r="D119" s="127"/>
      <c r="G119" s="144"/>
      <c r="AB119" s="131"/>
      <c r="AH119" s="58"/>
      <c r="AI119" s="58"/>
    </row>
    <row r="120" ht="15.75" customHeight="1">
      <c r="D120" s="127"/>
      <c r="G120" s="144"/>
      <c r="AB120" s="131"/>
      <c r="AH120" s="58"/>
      <c r="AI120" s="58"/>
    </row>
    <row r="121" ht="15.75" customHeight="1">
      <c r="D121" s="127"/>
      <c r="G121" s="144"/>
      <c r="AB121" s="131"/>
      <c r="AH121" s="58"/>
      <c r="AI121" s="58"/>
    </row>
    <row r="122" ht="15.75" customHeight="1">
      <c r="D122" s="127"/>
      <c r="G122" s="144"/>
      <c r="AB122" s="131"/>
      <c r="AH122" s="58"/>
      <c r="AI122" s="58"/>
    </row>
    <row r="123" ht="15.75" customHeight="1">
      <c r="D123" s="127"/>
      <c r="G123" s="144"/>
      <c r="AB123" s="131"/>
      <c r="AH123" s="58"/>
      <c r="AI123" s="58"/>
    </row>
    <row r="124" ht="15.75" customHeight="1">
      <c r="D124" s="127"/>
      <c r="G124" s="144"/>
      <c r="AB124" s="131"/>
      <c r="AH124" s="58"/>
      <c r="AI124" s="58"/>
    </row>
    <row r="125" ht="15.75" customHeight="1">
      <c r="D125" s="127"/>
      <c r="G125" s="144"/>
      <c r="AB125" s="131"/>
      <c r="AH125" s="58"/>
      <c r="AI125" s="58"/>
    </row>
    <row r="126" ht="15.75" customHeight="1">
      <c r="D126" s="127"/>
      <c r="G126" s="144"/>
      <c r="AB126" s="131"/>
      <c r="AH126" s="58"/>
      <c r="AI126" s="58"/>
    </row>
    <row r="127" ht="15.75" customHeight="1">
      <c r="D127" s="127"/>
      <c r="G127" s="144"/>
      <c r="AB127" s="131"/>
      <c r="AH127" s="58"/>
      <c r="AI127" s="58"/>
    </row>
    <row r="128" ht="15.75" customHeight="1">
      <c r="D128" s="127"/>
      <c r="G128" s="144"/>
      <c r="AB128" s="131"/>
      <c r="AH128" s="58"/>
      <c r="AI128" s="58"/>
    </row>
    <row r="129" ht="15.75" customHeight="1">
      <c r="D129" s="127"/>
      <c r="G129" s="144"/>
      <c r="AB129" s="131"/>
      <c r="AH129" s="58"/>
      <c r="AI129" s="58"/>
    </row>
    <row r="130" ht="15.75" customHeight="1">
      <c r="D130" s="127"/>
      <c r="G130" s="144"/>
      <c r="AB130" s="131"/>
      <c r="AH130" s="58"/>
      <c r="AI130" s="58"/>
    </row>
    <row r="131" ht="15.75" customHeight="1">
      <c r="D131" s="127"/>
      <c r="G131" s="144"/>
      <c r="AB131" s="131"/>
      <c r="AH131" s="58"/>
      <c r="AI131" s="58"/>
    </row>
    <row r="132" ht="15.75" customHeight="1">
      <c r="D132" s="127"/>
      <c r="G132" s="144"/>
      <c r="AB132" s="131"/>
      <c r="AH132" s="58"/>
      <c r="AI132" s="58"/>
    </row>
    <row r="133" ht="15.75" customHeight="1">
      <c r="D133" s="127"/>
      <c r="G133" s="144"/>
      <c r="AB133" s="131"/>
      <c r="AH133" s="58"/>
      <c r="AI133" s="58"/>
    </row>
    <row r="134" ht="15.75" customHeight="1">
      <c r="D134" s="127"/>
      <c r="G134" s="144"/>
      <c r="AB134" s="131"/>
      <c r="AH134" s="58"/>
      <c r="AI134" s="58"/>
    </row>
    <row r="135" ht="15.75" customHeight="1">
      <c r="D135" s="127"/>
      <c r="G135" s="144"/>
      <c r="AB135" s="131"/>
      <c r="AH135" s="58"/>
      <c r="AI135" s="58"/>
    </row>
    <row r="136" ht="15.75" customHeight="1">
      <c r="D136" s="127"/>
      <c r="G136" s="144"/>
      <c r="AB136" s="131"/>
      <c r="AH136" s="58"/>
      <c r="AI136" s="58"/>
    </row>
    <row r="137" ht="15.75" customHeight="1">
      <c r="D137" s="127"/>
      <c r="G137" s="144"/>
      <c r="AB137" s="131"/>
      <c r="AH137" s="58"/>
      <c r="AI137" s="58"/>
    </row>
    <row r="138" ht="15.75" customHeight="1">
      <c r="D138" s="127"/>
      <c r="G138" s="144"/>
      <c r="AB138" s="131"/>
      <c r="AH138" s="58"/>
      <c r="AI138" s="58"/>
    </row>
    <row r="139" ht="15.75" customHeight="1">
      <c r="D139" s="127"/>
      <c r="G139" s="144"/>
      <c r="AB139" s="131"/>
      <c r="AH139" s="58"/>
      <c r="AI139" s="58"/>
    </row>
    <row r="140" ht="15.75" customHeight="1">
      <c r="D140" s="127"/>
      <c r="G140" s="144"/>
      <c r="AB140" s="131"/>
      <c r="AH140" s="58"/>
      <c r="AI140" s="58"/>
    </row>
    <row r="141" ht="15.75" customHeight="1">
      <c r="D141" s="127"/>
      <c r="G141" s="144"/>
      <c r="AB141" s="131"/>
      <c r="AH141" s="58"/>
      <c r="AI141" s="58"/>
    </row>
    <row r="142" ht="15.75" customHeight="1">
      <c r="D142" s="127"/>
      <c r="G142" s="144"/>
      <c r="AB142" s="131"/>
      <c r="AH142" s="58"/>
      <c r="AI142" s="58"/>
    </row>
    <row r="143" ht="15.75" customHeight="1">
      <c r="D143" s="127"/>
      <c r="G143" s="144"/>
      <c r="AB143" s="131"/>
      <c r="AH143" s="58"/>
      <c r="AI143" s="58"/>
    </row>
    <row r="144" ht="15.75" customHeight="1">
      <c r="D144" s="127"/>
      <c r="G144" s="144"/>
      <c r="AB144" s="131"/>
      <c r="AH144" s="58"/>
      <c r="AI144" s="58"/>
    </row>
    <row r="145" ht="15.75" customHeight="1">
      <c r="D145" s="127"/>
      <c r="G145" s="144"/>
      <c r="AB145" s="131"/>
      <c r="AH145" s="58"/>
      <c r="AI145" s="58"/>
    </row>
    <row r="146" ht="15.75" customHeight="1">
      <c r="D146" s="127"/>
      <c r="G146" s="144"/>
      <c r="AB146" s="131"/>
      <c r="AH146" s="58"/>
      <c r="AI146" s="58"/>
    </row>
    <row r="147" ht="15.75" customHeight="1">
      <c r="D147" s="127"/>
      <c r="G147" s="144"/>
      <c r="AB147" s="131"/>
      <c r="AH147" s="58"/>
      <c r="AI147" s="58"/>
    </row>
    <row r="148" ht="15.75" customHeight="1">
      <c r="D148" s="127"/>
      <c r="G148" s="144"/>
      <c r="AB148" s="131"/>
      <c r="AH148" s="58"/>
      <c r="AI148" s="58"/>
    </row>
    <row r="149" ht="15.75" customHeight="1">
      <c r="D149" s="127"/>
      <c r="G149" s="144"/>
      <c r="AB149" s="131"/>
      <c r="AH149" s="58"/>
      <c r="AI149" s="58"/>
    </row>
    <row r="150" ht="15.75" customHeight="1">
      <c r="D150" s="127"/>
      <c r="G150" s="144"/>
      <c r="AB150" s="131"/>
      <c r="AH150" s="58"/>
      <c r="AI150" s="58"/>
    </row>
    <row r="151" ht="15.75" customHeight="1">
      <c r="D151" s="127"/>
      <c r="G151" s="144"/>
      <c r="AB151" s="131"/>
      <c r="AH151" s="58"/>
      <c r="AI151" s="58"/>
    </row>
    <row r="152" ht="15.75" customHeight="1">
      <c r="D152" s="127"/>
      <c r="G152" s="144"/>
      <c r="AB152" s="131"/>
      <c r="AH152" s="58"/>
      <c r="AI152" s="58"/>
    </row>
    <row r="153" ht="15.75" customHeight="1">
      <c r="D153" s="127"/>
      <c r="G153" s="144"/>
      <c r="AB153" s="131"/>
      <c r="AH153" s="58"/>
      <c r="AI153" s="58"/>
    </row>
    <row r="154" ht="15.75" customHeight="1">
      <c r="D154" s="127"/>
      <c r="G154" s="144"/>
      <c r="AB154" s="131"/>
      <c r="AH154" s="58"/>
      <c r="AI154" s="58"/>
    </row>
    <row r="155" ht="15.75" customHeight="1">
      <c r="D155" s="127"/>
      <c r="G155" s="144"/>
      <c r="AB155" s="131"/>
      <c r="AH155" s="58"/>
      <c r="AI155" s="58"/>
    </row>
    <row r="156" ht="15.75" customHeight="1">
      <c r="D156" s="127"/>
      <c r="G156" s="144"/>
      <c r="AB156" s="131"/>
      <c r="AH156" s="58"/>
      <c r="AI156" s="58"/>
    </row>
    <row r="157" ht="15.75" customHeight="1">
      <c r="D157" s="127"/>
      <c r="G157" s="144"/>
      <c r="AB157" s="131"/>
      <c r="AH157" s="58"/>
      <c r="AI157" s="58"/>
    </row>
    <row r="158" ht="15.75" customHeight="1">
      <c r="D158" s="127"/>
      <c r="G158" s="144"/>
      <c r="AB158" s="131"/>
      <c r="AH158" s="58"/>
      <c r="AI158" s="58"/>
    </row>
    <row r="159" ht="15.75" customHeight="1">
      <c r="D159" s="127"/>
      <c r="G159" s="144"/>
      <c r="AB159" s="131"/>
      <c r="AH159" s="58"/>
      <c r="AI159" s="58"/>
    </row>
    <row r="160" ht="15.75" customHeight="1">
      <c r="D160" s="127"/>
      <c r="G160" s="144"/>
      <c r="AB160" s="131"/>
      <c r="AH160" s="58"/>
      <c r="AI160" s="58"/>
    </row>
    <row r="161" ht="15.75" customHeight="1">
      <c r="D161" s="127"/>
      <c r="G161" s="144"/>
      <c r="AB161" s="131"/>
      <c r="AH161" s="58"/>
      <c r="AI161" s="58"/>
    </row>
    <row r="162" ht="15.75" customHeight="1">
      <c r="D162" s="127"/>
      <c r="G162" s="144"/>
      <c r="AB162" s="131"/>
      <c r="AH162" s="58"/>
      <c r="AI162" s="58"/>
    </row>
    <row r="163" ht="15.75" customHeight="1">
      <c r="D163" s="127"/>
      <c r="G163" s="144"/>
      <c r="AB163" s="131"/>
      <c r="AH163" s="58"/>
      <c r="AI163" s="58"/>
    </row>
    <row r="164" ht="15.75" customHeight="1">
      <c r="D164" s="127"/>
      <c r="G164" s="144"/>
      <c r="AB164" s="131"/>
      <c r="AH164" s="58"/>
      <c r="AI164" s="58"/>
    </row>
    <row r="165" ht="15.75" customHeight="1">
      <c r="D165" s="127"/>
      <c r="G165" s="144"/>
      <c r="AB165" s="131"/>
      <c r="AH165" s="58"/>
      <c r="AI165" s="58"/>
    </row>
    <row r="166" ht="15.75" customHeight="1">
      <c r="D166" s="127"/>
      <c r="G166" s="144"/>
      <c r="AB166" s="131"/>
      <c r="AH166" s="58"/>
      <c r="AI166" s="58"/>
    </row>
    <row r="167" ht="15.75" customHeight="1">
      <c r="D167" s="127"/>
      <c r="G167" s="144"/>
      <c r="AB167" s="131"/>
      <c r="AH167" s="58"/>
      <c r="AI167" s="58"/>
    </row>
    <row r="168" ht="15.75" customHeight="1">
      <c r="D168" s="127"/>
      <c r="G168" s="144"/>
      <c r="AB168" s="131"/>
      <c r="AH168" s="58"/>
      <c r="AI168" s="58"/>
    </row>
    <row r="169" ht="15.75" customHeight="1">
      <c r="D169" s="127"/>
      <c r="G169" s="144"/>
      <c r="AB169" s="131"/>
      <c r="AH169" s="58"/>
      <c r="AI169" s="58"/>
    </row>
    <row r="170" ht="15.75" customHeight="1">
      <c r="D170" s="127"/>
      <c r="G170" s="144"/>
      <c r="AB170" s="131"/>
      <c r="AH170" s="58"/>
      <c r="AI170" s="58"/>
    </row>
    <row r="171" ht="15.75" customHeight="1">
      <c r="D171" s="127"/>
      <c r="G171" s="144"/>
      <c r="AB171" s="131"/>
      <c r="AH171" s="58"/>
      <c r="AI171" s="58"/>
    </row>
    <row r="172" ht="15.75" customHeight="1">
      <c r="D172" s="127"/>
      <c r="G172" s="144"/>
      <c r="AB172" s="131"/>
      <c r="AH172" s="58"/>
      <c r="AI172" s="58"/>
    </row>
    <row r="173" ht="15.75" customHeight="1">
      <c r="D173" s="127"/>
      <c r="G173" s="144"/>
      <c r="AB173" s="131"/>
      <c r="AH173" s="58"/>
      <c r="AI173" s="58"/>
    </row>
    <row r="174" ht="15.75" customHeight="1">
      <c r="D174" s="127"/>
      <c r="G174" s="144"/>
      <c r="AB174" s="131"/>
      <c r="AH174" s="58"/>
      <c r="AI174" s="58"/>
    </row>
    <row r="175" ht="15.75" customHeight="1">
      <c r="D175" s="127"/>
      <c r="G175" s="144"/>
      <c r="AB175" s="131"/>
      <c r="AH175" s="58"/>
      <c r="AI175" s="58"/>
    </row>
    <row r="176" ht="15.75" customHeight="1">
      <c r="D176" s="127"/>
      <c r="G176" s="144"/>
      <c r="AB176" s="131"/>
      <c r="AH176" s="58"/>
      <c r="AI176" s="58"/>
    </row>
    <row r="177" ht="15.75" customHeight="1">
      <c r="D177" s="127"/>
      <c r="G177" s="144"/>
      <c r="AB177" s="131"/>
      <c r="AH177" s="58"/>
      <c r="AI177" s="58"/>
    </row>
    <row r="178" ht="15.75" customHeight="1">
      <c r="D178" s="127"/>
      <c r="G178" s="144"/>
      <c r="AB178" s="131"/>
      <c r="AH178" s="58"/>
      <c r="AI178" s="58"/>
    </row>
    <row r="179" ht="15.75" customHeight="1">
      <c r="D179" s="127"/>
      <c r="G179" s="144"/>
      <c r="AB179" s="131"/>
      <c r="AH179" s="58"/>
      <c r="AI179" s="58"/>
    </row>
    <row r="180" ht="15.75" customHeight="1">
      <c r="D180" s="127"/>
      <c r="G180" s="144"/>
      <c r="AB180" s="131"/>
      <c r="AH180" s="58"/>
      <c r="AI180" s="58"/>
    </row>
    <row r="181" ht="15.75" customHeight="1">
      <c r="D181" s="127"/>
      <c r="G181" s="144"/>
      <c r="AB181" s="131"/>
      <c r="AH181" s="58"/>
      <c r="AI181" s="58"/>
    </row>
    <row r="182" ht="15.75" customHeight="1">
      <c r="D182" s="127"/>
      <c r="G182" s="144"/>
      <c r="AB182" s="131"/>
      <c r="AH182" s="58"/>
      <c r="AI182" s="58"/>
    </row>
    <row r="183" ht="15.75" customHeight="1">
      <c r="D183" s="127"/>
      <c r="G183" s="144"/>
      <c r="AB183" s="131"/>
      <c r="AH183" s="58"/>
      <c r="AI183" s="58"/>
    </row>
    <row r="184" ht="15.75" customHeight="1">
      <c r="D184" s="127"/>
      <c r="G184" s="144"/>
      <c r="AB184" s="131"/>
      <c r="AH184" s="58"/>
      <c r="AI184" s="58"/>
    </row>
    <row r="185" ht="15.75" customHeight="1">
      <c r="D185" s="127"/>
      <c r="G185" s="144"/>
      <c r="AB185" s="131"/>
      <c r="AH185" s="58"/>
      <c r="AI185" s="58"/>
    </row>
    <row r="186" ht="15.75" customHeight="1">
      <c r="D186" s="127"/>
      <c r="G186" s="144"/>
      <c r="AB186" s="131"/>
      <c r="AH186" s="58"/>
      <c r="AI186" s="58"/>
    </row>
    <row r="187" ht="15.75" customHeight="1">
      <c r="D187" s="127"/>
      <c r="G187" s="144"/>
      <c r="AB187" s="131"/>
      <c r="AH187" s="58"/>
      <c r="AI187" s="58"/>
    </row>
    <row r="188" ht="15.75" customHeight="1">
      <c r="D188" s="127"/>
      <c r="G188" s="144"/>
      <c r="AB188" s="131"/>
      <c r="AH188" s="58"/>
      <c r="AI188" s="58"/>
    </row>
    <row r="189" ht="15.75" customHeight="1">
      <c r="D189" s="127"/>
      <c r="G189" s="144"/>
      <c r="AB189" s="131"/>
      <c r="AH189" s="58"/>
      <c r="AI189" s="58"/>
    </row>
    <row r="190" ht="15.75" customHeight="1">
      <c r="D190" s="127"/>
      <c r="G190" s="144"/>
      <c r="AB190" s="131"/>
      <c r="AH190" s="58"/>
      <c r="AI190" s="58"/>
    </row>
    <row r="191" ht="15.75" customHeight="1">
      <c r="D191" s="127"/>
      <c r="G191" s="144"/>
      <c r="AB191" s="131"/>
      <c r="AH191" s="58"/>
      <c r="AI191" s="58"/>
    </row>
    <row r="192" ht="15.75" customHeight="1">
      <c r="D192" s="127"/>
      <c r="G192" s="144"/>
      <c r="AB192" s="131"/>
      <c r="AH192" s="58"/>
      <c r="AI192" s="58"/>
    </row>
    <row r="193" ht="15.75" customHeight="1">
      <c r="D193" s="127"/>
      <c r="G193" s="144"/>
      <c r="AB193" s="131"/>
      <c r="AH193" s="58"/>
      <c r="AI193" s="58"/>
    </row>
    <row r="194" ht="15.75" customHeight="1">
      <c r="D194" s="127"/>
      <c r="G194" s="144"/>
      <c r="AB194" s="131"/>
      <c r="AH194" s="58"/>
      <c r="AI194" s="58"/>
    </row>
    <row r="195" ht="15.75" customHeight="1">
      <c r="D195" s="127"/>
      <c r="G195" s="144"/>
      <c r="AB195" s="131"/>
      <c r="AH195" s="58"/>
      <c r="AI195" s="58"/>
    </row>
    <row r="196" ht="15.75" customHeight="1">
      <c r="D196" s="127"/>
      <c r="G196" s="144"/>
      <c r="AB196" s="131"/>
      <c r="AH196" s="58"/>
      <c r="AI196" s="58"/>
    </row>
    <row r="197" ht="15.75" customHeight="1">
      <c r="D197" s="127"/>
      <c r="G197" s="144"/>
      <c r="AB197" s="131"/>
      <c r="AH197" s="58"/>
      <c r="AI197" s="58"/>
    </row>
    <row r="198" ht="15.75" customHeight="1">
      <c r="D198" s="127"/>
      <c r="G198" s="144"/>
      <c r="AB198" s="131"/>
      <c r="AH198" s="58"/>
      <c r="AI198" s="58"/>
    </row>
    <row r="199" ht="15.75" customHeight="1">
      <c r="D199" s="127"/>
      <c r="G199" s="144"/>
      <c r="AB199" s="131"/>
      <c r="AH199" s="58"/>
      <c r="AI199" s="58"/>
    </row>
    <row r="200" ht="15.75" customHeight="1">
      <c r="D200" s="127"/>
      <c r="G200" s="144"/>
      <c r="AB200" s="131"/>
      <c r="AH200" s="58"/>
      <c r="AI200" s="58"/>
    </row>
    <row r="201" ht="15.75" customHeight="1">
      <c r="D201" s="127"/>
      <c r="G201" s="144"/>
      <c r="AB201" s="131"/>
      <c r="AH201" s="58"/>
      <c r="AI201" s="58"/>
    </row>
    <row r="202" ht="15.75" customHeight="1">
      <c r="D202" s="127"/>
      <c r="G202" s="144"/>
      <c r="AB202" s="131"/>
      <c r="AH202" s="58"/>
      <c r="AI202" s="58"/>
    </row>
    <row r="203" ht="15.75" customHeight="1">
      <c r="D203" s="127"/>
      <c r="G203" s="144"/>
      <c r="AB203" s="131"/>
      <c r="AH203" s="58"/>
      <c r="AI203" s="58"/>
    </row>
    <row r="204" ht="15.75" customHeight="1">
      <c r="D204" s="127"/>
      <c r="G204" s="144"/>
      <c r="AB204" s="131"/>
      <c r="AH204" s="58"/>
      <c r="AI204" s="58"/>
    </row>
    <row r="205" ht="15.75" customHeight="1">
      <c r="D205" s="127"/>
      <c r="G205" s="144"/>
      <c r="AB205" s="131"/>
      <c r="AH205" s="58"/>
      <c r="AI205" s="58"/>
    </row>
    <row r="206" ht="15.75" customHeight="1">
      <c r="D206" s="127"/>
      <c r="G206" s="144"/>
      <c r="AB206" s="131"/>
      <c r="AH206" s="58"/>
      <c r="AI206" s="58"/>
    </row>
    <row r="207" ht="15.75" customHeight="1">
      <c r="D207" s="127"/>
      <c r="G207" s="144"/>
      <c r="AB207" s="131"/>
      <c r="AH207" s="58"/>
      <c r="AI207" s="58"/>
    </row>
    <row r="208" ht="15.75" customHeight="1">
      <c r="D208" s="127"/>
      <c r="G208" s="144"/>
      <c r="AB208" s="131"/>
      <c r="AH208" s="58"/>
      <c r="AI208" s="58"/>
    </row>
    <row r="209" ht="15.75" customHeight="1">
      <c r="D209" s="127"/>
      <c r="G209" s="144"/>
      <c r="AB209" s="131"/>
      <c r="AH209" s="58"/>
      <c r="AI209" s="58"/>
    </row>
    <row r="210" ht="15.75" customHeight="1">
      <c r="D210" s="127"/>
      <c r="G210" s="144"/>
      <c r="AB210" s="131"/>
      <c r="AH210" s="58"/>
      <c r="AI210" s="58"/>
    </row>
    <row r="211" ht="15.75" customHeight="1">
      <c r="D211" s="127"/>
      <c r="G211" s="144"/>
      <c r="AB211" s="131"/>
      <c r="AH211" s="58"/>
      <c r="AI211" s="58"/>
    </row>
    <row r="212" ht="15.75" customHeight="1">
      <c r="D212" s="127"/>
      <c r="G212" s="144"/>
      <c r="AB212" s="131"/>
    </row>
    <row r="213" ht="15.75" customHeight="1">
      <c r="D213" s="127"/>
      <c r="G213" s="144"/>
      <c r="AB213" s="131"/>
    </row>
    <row r="214" ht="15.75" customHeight="1">
      <c r="D214" s="127"/>
      <c r="G214" s="144"/>
      <c r="AB214" s="131"/>
    </row>
    <row r="215" ht="15.75" customHeight="1">
      <c r="D215" s="127"/>
      <c r="G215" s="144"/>
      <c r="AB215" s="131"/>
    </row>
    <row r="216" ht="15.75" customHeight="1">
      <c r="D216" s="127"/>
      <c r="G216" s="144"/>
      <c r="AB216" s="131"/>
    </row>
    <row r="217" ht="15.75" customHeight="1">
      <c r="D217" s="127"/>
      <c r="G217" s="144"/>
      <c r="AB217" s="131"/>
    </row>
    <row r="218" ht="15.75" customHeight="1">
      <c r="D218" s="127"/>
      <c r="G218" s="144"/>
      <c r="AB218" s="131"/>
    </row>
    <row r="219" ht="15.75" customHeight="1">
      <c r="D219" s="127"/>
      <c r="G219" s="144"/>
      <c r="AB219" s="131"/>
    </row>
    <row r="220" ht="15.75" customHeight="1">
      <c r="D220" s="127"/>
      <c r="G220" s="144"/>
      <c r="AB220" s="131"/>
    </row>
    <row r="221" ht="15.75" customHeight="1">
      <c r="D221" s="127"/>
      <c r="G221" s="144"/>
      <c r="AB221" s="131"/>
    </row>
    <row r="222" ht="15.75" customHeight="1">
      <c r="D222" s="127"/>
      <c r="G222" s="144"/>
      <c r="AB222" s="131"/>
    </row>
    <row r="223" ht="15.75" customHeight="1">
      <c r="D223" s="127"/>
      <c r="G223" s="144"/>
      <c r="AB223" s="131"/>
    </row>
    <row r="224" ht="15.75" customHeight="1">
      <c r="D224" s="127"/>
      <c r="G224" s="144"/>
      <c r="AB224" s="131"/>
    </row>
    <row r="225" ht="15.75" customHeight="1">
      <c r="D225" s="127"/>
      <c r="G225" s="144"/>
      <c r="AB225" s="131"/>
    </row>
    <row r="226" ht="15.75" customHeight="1">
      <c r="D226" s="127"/>
      <c r="G226" s="144"/>
      <c r="AB226" s="131"/>
    </row>
    <row r="227" ht="15.75" customHeight="1">
      <c r="D227" s="127"/>
      <c r="G227" s="144"/>
      <c r="AB227" s="131"/>
    </row>
    <row r="228" ht="15.75" customHeight="1">
      <c r="D228" s="127"/>
      <c r="G228" s="144"/>
      <c r="AB228" s="131"/>
    </row>
    <row r="229" ht="15.75" customHeight="1">
      <c r="D229" s="127"/>
      <c r="G229" s="144"/>
      <c r="AB229" s="131"/>
    </row>
    <row r="230" ht="15.75" customHeight="1">
      <c r="D230" s="127"/>
      <c r="G230" s="144"/>
      <c r="AB230" s="131"/>
    </row>
    <row r="231" ht="15.75" customHeight="1">
      <c r="D231" s="127"/>
      <c r="G231" s="144"/>
      <c r="AB231" s="131"/>
    </row>
    <row r="232" ht="15.75" customHeight="1">
      <c r="D232" s="127"/>
      <c r="G232" s="144"/>
      <c r="AB232" s="131"/>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L$16"/>
  <mergeCells count="3">
    <mergeCell ref="B1:J1"/>
    <mergeCell ref="A25:B25"/>
    <mergeCell ref="A26:B26"/>
  </mergeCells>
  <conditionalFormatting sqref="A27:A32">
    <cfRule type="beginsWith" dxfId="0" priority="1" operator="beginsWith" text="P">
      <formula>LEFT((A27),LEN("P"))=("P")</formula>
    </cfRule>
  </conditionalFormatting>
  <conditionalFormatting sqref="A27:A32">
    <cfRule type="containsText" dxfId="1" priority="2" operator="containsText" text="N-P">
      <formula>NOT(ISERROR(SEARCH(("N-P"),(A27))))</formula>
    </cfRule>
  </conditionalFormatting>
  <conditionalFormatting sqref="A27:A32">
    <cfRule type="containsText" dxfId="2" priority="3" operator="containsText" text="R">
      <formula>NOT(ISERROR(SEARCH(("R"),(A27))))</formula>
    </cfRule>
  </conditionalFormatting>
  <conditionalFormatting sqref="A27:A32">
    <cfRule type="containsText" dxfId="3" priority="4" operator="containsText" text="A-S">
      <formula>NOT(ISERROR(SEARCH(("A-S"),(A27))))</formula>
    </cfRule>
  </conditionalFormatting>
  <conditionalFormatting sqref="A27:A32">
    <cfRule type="beginsWith" dxfId="4" priority="5" operator="beginsWith" text="S">
      <formula>LEFT((A27),LEN("S"))=("S")</formula>
    </cfRule>
  </conditionalFormatting>
  <conditionalFormatting sqref="D3:D18">
    <cfRule type="beginsWith" dxfId="0" priority="6" operator="beginsWith" text="P">
      <formula>LEFT((D3),LEN("P"))=("P")</formula>
    </cfRule>
  </conditionalFormatting>
  <conditionalFormatting sqref="D3:D18">
    <cfRule type="containsText" dxfId="1" priority="7" operator="containsText" text="N-P">
      <formula>NOT(ISERROR(SEARCH(("N-P"),(D3))))</formula>
    </cfRule>
  </conditionalFormatting>
  <conditionalFormatting sqref="D3:D18">
    <cfRule type="containsText" dxfId="2" priority="8" operator="containsText" text="R">
      <formula>NOT(ISERROR(SEARCH(("R"),(D3))))</formula>
    </cfRule>
  </conditionalFormatting>
  <conditionalFormatting sqref="D3:D18">
    <cfRule type="containsText" dxfId="3" priority="9" operator="containsText" text="A-S">
      <formula>NOT(ISERROR(SEARCH(("A-S"),(D3))))</formula>
    </cfRule>
  </conditionalFormatting>
  <conditionalFormatting sqref="D3:D18">
    <cfRule type="beginsWith" dxfId="4" priority="10" operator="beginsWith" text="S">
      <formula>LEFT((D3),LEN("S"))=("S")</formula>
    </cfRule>
  </conditionalFormatting>
  <conditionalFormatting sqref="I3:I8 I10">
    <cfRule type="cellIs" dxfId="5" priority="11" operator="lessThan">
      <formula>45698</formula>
    </cfRule>
  </conditionalFormatting>
  <dataValidations>
    <dataValidation type="list" allowBlank="1" showErrorMessage="1" sqref="D3:D18">
      <formula1>'17025 SAL'!$A$207:$A$212</formula1>
    </dataValidation>
  </dataValidations>
  <hyperlinks>
    <hyperlink r:id="rId4" ref="U7"/>
    <hyperlink r:id="rId5" ref="AI7"/>
    <hyperlink r:id="rId6" ref="U8"/>
    <hyperlink r:id="rId7" ref="AI8"/>
    <hyperlink r:id="rId8" ref="M9"/>
    <hyperlink r:id="rId9" ref="N9"/>
    <hyperlink r:id="rId10" ref="M10"/>
    <hyperlink r:id="rId11" ref="U10"/>
    <hyperlink r:id="rId12" ref="N11"/>
    <hyperlink r:id="rId13" ref="U11"/>
    <hyperlink r:id="rId14" ref="AI11"/>
    <hyperlink r:id="rId15" ref="AI13"/>
    <hyperlink r:id="rId16" ref="M14"/>
    <hyperlink r:id="rId17" ref="N14"/>
    <hyperlink r:id="rId18" ref="AI14"/>
  </hyperlinks>
  <printOptions/>
  <pageMargins bottom="0.75" footer="0.0" header="0.0" left="0.7" right="0.7" top="0.75"/>
  <pageSetup orientation="landscape"/>
  <drawing r:id="rId19"/>
  <legacyDrawing r:id="rId2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43.71"/>
    <col customWidth="1" min="2" max="2" width="40.71"/>
    <col customWidth="1" min="3" max="3" width="14.0"/>
    <col customWidth="1" min="4" max="4" width="11.29"/>
    <col customWidth="1" min="5" max="5" width="12.71"/>
    <col customWidth="1" min="6" max="6" width="18.57"/>
    <col customWidth="1" min="7" max="7" width="20.43"/>
    <col customWidth="1" min="8" max="8" width="18.71"/>
    <col customWidth="1" min="9" max="9" width="18.86"/>
    <col customWidth="1" min="10" max="10" width="22.29"/>
    <col customWidth="1" min="11" max="11" width="21.57"/>
    <col customWidth="1" min="12" max="12" width="41.0"/>
    <col customWidth="1" min="13" max="13" width="31.0"/>
    <col customWidth="1" min="14" max="14" width="28.29"/>
    <col customWidth="1" min="15" max="15" width="19.43"/>
    <col customWidth="1" min="16" max="16" width="18.29"/>
    <col customWidth="1" min="17" max="17" width="15.14"/>
    <col customWidth="1" min="18" max="18" width="34.57"/>
    <col customWidth="1" min="19" max="19" width="20.14"/>
    <col customWidth="1" min="20" max="20" width="20.71"/>
    <col customWidth="1" min="21" max="21" width="19.43"/>
    <col customWidth="1" min="22" max="22" width="33.29"/>
    <col customWidth="1" min="23" max="23" width="20.57"/>
    <col customWidth="1" min="24" max="24" width="17.43"/>
    <col customWidth="1" min="25" max="25" width="18.57"/>
    <col customWidth="1" min="26" max="26" width="24.86"/>
    <col customWidth="1" min="27" max="27" width="41.0"/>
    <col customWidth="1" min="28" max="28" width="26.43"/>
    <col customWidth="1" min="29" max="29" width="27.29"/>
    <col customWidth="1" min="30" max="30" width="33.14"/>
    <col customWidth="1" min="31" max="31" width="17.43"/>
    <col customWidth="1" min="32" max="32" width="15.43"/>
    <col customWidth="1" min="33" max="33" width="43.86"/>
    <col customWidth="1" min="34" max="34" width="11.57"/>
    <col customWidth="1" min="35" max="35" width="19.71"/>
    <col customWidth="1" min="36" max="36" width="26.29"/>
    <col customWidth="1" min="37" max="37" width="24.14"/>
    <col customWidth="1" min="38" max="38" width="55.0"/>
  </cols>
  <sheetData>
    <row r="1" ht="50.25" customHeight="1">
      <c r="A1" s="130"/>
      <c r="B1" s="14" t="s">
        <v>4453</v>
      </c>
      <c r="C1" s="10"/>
      <c r="D1" s="10"/>
      <c r="E1" s="10"/>
      <c r="F1" s="10"/>
      <c r="G1" s="10"/>
      <c r="H1" s="10"/>
      <c r="I1" s="10"/>
      <c r="J1" s="10"/>
      <c r="K1" s="10"/>
      <c r="L1" s="15"/>
      <c r="M1" s="15"/>
      <c r="N1" s="109"/>
      <c r="O1" s="109"/>
      <c r="P1" s="109"/>
      <c r="Q1" s="109"/>
      <c r="R1" s="109"/>
      <c r="S1" s="109"/>
      <c r="T1" s="109"/>
      <c r="U1" s="109"/>
      <c r="V1" s="109"/>
      <c r="W1" s="109"/>
      <c r="X1" s="109"/>
      <c r="Y1" s="109"/>
      <c r="Z1" s="109"/>
      <c r="AA1" s="109"/>
      <c r="AB1" s="109"/>
      <c r="AC1" s="109"/>
      <c r="AD1" s="109"/>
      <c r="AE1" s="109"/>
      <c r="AF1" s="109"/>
      <c r="AG1" s="109"/>
      <c r="AH1" s="109"/>
      <c r="AI1" s="109"/>
      <c r="AJ1" s="109"/>
      <c r="AK1" s="109"/>
    </row>
    <row r="2" ht="51.0" customHeight="1">
      <c r="A2" s="18" t="s">
        <v>8</v>
      </c>
      <c r="B2" s="18" t="s">
        <v>9</v>
      </c>
      <c r="C2" s="135" t="s">
        <v>10</v>
      </c>
      <c r="D2" s="135" t="s">
        <v>11</v>
      </c>
      <c r="E2" s="135" t="s">
        <v>12</v>
      </c>
      <c r="F2" s="135" t="s">
        <v>13</v>
      </c>
      <c r="G2" s="135" t="s">
        <v>14</v>
      </c>
      <c r="H2" s="135" t="s">
        <v>15</v>
      </c>
      <c r="I2" s="135" t="s">
        <v>16</v>
      </c>
      <c r="J2" s="135" t="s">
        <v>17</v>
      </c>
      <c r="K2" s="18" t="s">
        <v>18</v>
      </c>
      <c r="L2" s="135" t="s">
        <v>3278</v>
      </c>
      <c r="M2" s="135" t="s">
        <v>20</v>
      </c>
      <c r="N2" s="135" t="s">
        <v>21</v>
      </c>
      <c r="O2" s="135" t="s">
        <v>22</v>
      </c>
      <c r="P2" s="135" t="s">
        <v>23</v>
      </c>
      <c r="Q2" s="135" t="s">
        <v>24</v>
      </c>
      <c r="R2" s="135" t="s">
        <v>25</v>
      </c>
      <c r="S2" s="135" t="s">
        <v>26</v>
      </c>
      <c r="T2" s="135" t="s">
        <v>27</v>
      </c>
      <c r="U2" s="135" t="s">
        <v>28</v>
      </c>
      <c r="V2" s="135" t="s">
        <v>3279</v>
      </c>
      <c r="W2" s="135" t="s">
        <v>30</v>
      </c>
      <c r="X2" s="135" t="s">
        <v>31</v>
      </c>
      <c r="Y2" s="135" t="s">
        <v>32</v>
      </c>
      <c r="Z2" s="135" t="s">
        <v>33</v>
      </c>
      <c r="AA2" s="135" t="s">
        <v>34</v>
      </c>
      <c r="AB2" s="135" t="s">
        <v>35</v>
      </c>
      <c r="AC2" s="135" t="s">
        <v>36</v>
      </c>
      <c r="AD2" s="135" t="s">
        <v>37</v>
      </c>
      <c r="AE2" s="135" t="s">
        <v>38</v>
      </c>
      <c r="AF2" s="135" t="s">
        <v>39</v>
      </c>
      <c r="AG2" s="135" t="s">
        <v>40</v>
      </c>
      <c r="AH2" s="135" t="s">
        <v>41</v>
      </c>
      <c r="AI2" s="135" t="s">
        <v>42</v>
      </c>
      <c r="AJ2" s="135" t="s">
        <v>3280</v>
      </c>
      <c r="AK2" s="135" t="s">
        <v>44</v>
      </c>
      <c r="AL2" s="145" t="s">
        <v>45</v>
      </c>
    </row>
    <row r="3" ht="60.0" customHeight="1">
      <c r="A3" s="20" t="s">
        <v>4454</v>
      </c>
      <c r="B3" s="146"/>
      <c r="C3" s="57" t="s">
        <v>4455</v>
      </c>
      <c r="D3" s="21" t="s">
        <v>2027</v>
      </c>
      <c r="E3" s="20" t="s">
        <v>49</v>
      </c>
      <c r="F3" s="20" t="s">
        <v>4456</v>
      </c>
      <c r="G3" s="20"/>
      <c r="H3" s="22"/>
      <c r="I3" s="22">
        <f>'17024 OCH'!$H3+'17025 SAL'!$AN$1</f>
        <v>1460</v>
      </c>
      <c r="J3" s="22" t="s">
        <v>324</v>
      </c>
      <c r="K3" s="20" t="s">
        <v>730</v>
      </c>
      <c r="L3" s="20" t="s">
        <v>4457</v>
      </c>
      <c r="M3" s="52" t="str">
        <f>HYPERLINK("mailto:rarrones@inteco.or.cr;","rarrones@inteco.or.cr;")</f>
        <v>rarrones@inteco.or.cr;</v>
      </c>
      <c r="N3" s="20"/>
      <c r="O3" s="20" t="s">
        <v>4458</v>
      </c>
      <c r="P3" s="20" t="s">
        <v>4459</v>
      </c>
      <c r="Q3" s="20" t="s">
        <v>55</v>
      </c>
      <c r="R3" s="20" t="s">
        <v>4460</v>
      </c>
      <c r="S3" s="20"/>
      <c r="T3" s="20" t="s">
        <v>4461</v>
      </c>
      <c r="U3" s="20"/>
      <c r="V3" s="20"/>
      <c r="W3" s="20"/>
      <c r="X3" s="20"/>
      <c r="Y3" s="20"/>
      <c r="Z3" s="20"/>
      <c r="AA3" s="20"/>
      <c r="AB3" s="20"/>
      <c r="AC3" s="20"/>
      <c r="AD3" s="20"/>
      <c r="AE3" s="20"/>
      <c r="AF3" s="20"/>
      <c r="AG3" s="20"/>
      <c r="AH3" s="20"/>
      <c r="AI3" s="20"/>
      <c r="AJ3" s="20"/>
      <c r="AK3" s="20" t="s">
        <v>4462</v>
      </c>
      <c r="AL3" s="20" t="s">
        <v>76</v>
      </c>
    </row>
    <row r="4" ht="60.0" customHeight="1">
      <c r="A4" s="147" t="s">
        <v>4463</v>
      </c>
      <c r="B4" s="57" t="s">
        <v>4464</v>
      </c>
      <c r="C4" s="57" t="s">
        <v>4455</v>
      </c>
      <c r="D4" s="21" t="s">
        <v>213</v>
      </c>
      <c r="E4" s="20" t="s">
        <v>49</v>
      </c>
      <c r="F4" s="20" t="s">
        <v>4465</v>
      </c>
      <c r="G4" s="20" t="s">
        <v>4466</v>
      </c>
      <c r="H4" s="22"/>
      <c r="I4" s="22">
        <f>'17024 OCH'!$H4+'17025 SAL'!$AN$1</f>
        <v>1460</v>
      </c>
      <c r="J4" s="22">
        <v>41989.0</v>
      </c>
      <c r="K4" s="20"/>
      <c r="L4" s="20" t="s">
        <v>4467</v>
      </c>
      <c r="M4" s="52" t="s">
        <v>4468</v>
      </c>
      <c r="N4" s="20"/>
      <c r="O4" s="20" t="s">
        <v>4469</v>
      </c>
      <c r="P4" s="20" t="s">
        <v>4459</v>
      </c>
      <c r="Q4" s="20" t="s">
        <v>55</v>
      </c>
      <c r="R4" s="20" t="s">
        <v>4470</v>
      </c>
      <c r="S4" s="20" t="s">
        <v>57</v>
      </c>
      <c r="T4" s="20" t="s">
        <v>4461</v>
      </c>
      <c r="U4" s="52" t="str">
        <f>HYPERLINK("http://www.inteco.or.cr/","www.inteco.or.cr")</f>
        <v>www.inteco.or.cr</v>
      </c>
      <c r="V4" s="20" t="s">
        <v>4471</v>
      </c>
      <c r="W4" s="20" t="s">
        <v>4472</v>
      </c>
      <c r="X4" s="20" t="s">
        <v>1899</v>
      </c>
      <c r="Y4" s="20" t="s">
        <v>63</v>
      </c>
      <c r="Z4" s="20" t="s">
        <v>4473</v>
      </c>
      <c r="AA4" s="20" t="s">
        <v>4474</v>
      </c>
      <c r="AB4" s="20"/>
      <c r="AC4" s="20" t="s">
        <v>4475</v>
      </c>
      <c r="AD4" s="20" t="s">
        <v>4476</v>
      </c>
      <c r="AE4" s="20" t="s">
        <v>4477</v>
      </c>
      <c r="AF4" s="20" t="s">
        <v>4478</v>
      </c>
      <c r="AG4" s="20" t="s">
        <v>4474</v>
      </c>
      <c r="AH4" s="20" t="s">
        <v>4459</v>
      </c>
      <c r="AI4" s="20"/>
      <c r="AJ4" s="20" t="s">
        <v>4479</v>
      </c>
      <c r="AK4" s="20" t="s">
        <v>4462</v>
      </c>
      <c r="AL4" s="20" t="s">
        <v>4480</v>
      </c>
    </row>
    <row r="5" ht="60.0" customHeight="1">
      <c r="A5" s="57" t="s">
        <v>4481</v>
      </c>
      <c r="B5" s="57"/>
      <c r="C5" s="57" t="s">
        <v>4455</v>
      </c>
      <c r="D5" s="21" t="s">
        <v>822</v>
      </c>
      <c r="E5" s="20" t="s">
        <v>49</v>
      </c>
      <c r="F5" s="20" t="s">
        <v>4482</v>
      </c>
      <c r="G5" s="20" t="s">
        <v>4483</v>
      </c>
      <c r="H5" s="22">
        <v>43472.0</v>
      </c>
      <c r="I5" s="22">
        <f>'17024 OCH'!$H5+'17025 SAL'!$AN$1</f>
        <v>44932</v>
      </c>
      <c r="J5" s="22">
        <v>41191.0</v>
      </c>
      <c r="K5" s="20" t="s">
        <v>730</v>
      </c>
      <c r="L5" s="20" t="s">
        <v>4484</v>
      </c>
      <c r="M5" s="20" t="s">
        <v>4485</v>
      </c>
      <c r="N5" s="20"/>
      <c r="O5" s="20" t="s">
        <v>4486</v>
      </c>
      <c r="P5" s="20" t="s">
        <v>4487</v>
      </c>
      <c r="Q5" s="20" t="s">
        <v>661</v>
      </c>
      <c r="R5" s="20" t="s">
        <v>4488</v>
      </c>
      <c r="S5" s="20" t="s">
        <v>1016</v>
      </c>
      <c r="T5" s="20" t="s">
        <v>4489</v>
      </c>
      <c r="U5" s="52" t="str">
        <f>HYPERLINK("http://www.caderh.hn/","www.caderh.hn")</f>
        <v>www.caderh.hn</v>
      </c>
      <c r="V5" s="20" t="s">
        <v>4490</v>
      </c>
      <c r="W5" s="20" t="s">
        <v>4491</v>
      </c>
      <c r="X5" s="20" t="s">
        <v>84</v>
      </c>
      <c r="Y5" s="20" t="s">
        <v>666</v>
      </c>
      <c r="Z5" s="20" t="s">
        <v>3322</v>
      </c>
      <c r="AA5" s="20" t="s">
        <v>4492</v>
      </c>
      <c r="AB5" s="20"/>
      <c r="AC5" s="20" t="s">
        <v>1513</v>
      </c>
      <c r="AD5" s="20" t="s">
        <v>4493</v>
      </c>
      <c r="AE5" s="20" t="s">
        <v>4494</v>
      </c>
      <c r="AF5" s="20" t="s">
        <v>4486</v>
      </c>
      <c r="AG5" s="20" t="s">
        <v>4495</v>
      </c>
      <c r="AH5" s="20" t="s">
        <v>4496</v>
      </c>
      <c r="AI5" s="52" t="str">
        <f>HYPERLINK("mailto:bertha.paz@caderh.hn","bertha.paz@caderh.hn;
 joe.reyes@caderh.hn ")</f>
        <v>bertha.paz@caderh.hn;
 joe.reyes@caderh.hn </v>
      </c>
      <c r="AJ5" s="20" t="s">
        <v>4497</v>
      </c>
      <c r="AK5" s="20" t="s">
        <v>4481</v>
      </c>
      <c r="AL5" s="20" t="s">
        <v>4498</v>
      </c>
    </row>
    <row r="6" ht="60.0" customHeight="1">
      <c r="A6" s="57" t="s">
        <v>4499</v>
      </c>
      <c r="B6" s="57" t="s">
        <v>4500</v>
      </c>
      <c r="C6" s="57" t="s">
        <v>4455</v>
      </c>
      <c r="D6" s="148" t="s">
        <v>48</v>
      </c>
      <c r="E6" s="20" t="s">
        <v>2063</v>
      </c>
      <c r="F6" s="20" t="s">
        <v>4501</v>
      </c>
      <c r="G6" s="20" t="s">
        <v>4501</v>
      </c>
      <c r="H6" s="22">
        <v>43797.0</v>
      </c>
      <c r="I6" s="22">
        <f>'17024 OCH'!$H6+'17025 SAL'!$AN$1</f>
        <v>45257</v>
      </c>
      <c r="J6" s="22">
        <v>44670.0</v>
      </c>
      <c r="K6" s="20"/>
      <c r="L6" s="20" t="s">
        <v>3884</v>
      </c>
      <c r="M6" s="38" t="s">
        <v>4140</v>
      </c>
      <c r="N6" s="20"/>
      <c r="O6" s="20" t="s">
        <v>4141</v>
      </c>
      <c r="P6" s="20" t="s">
        <v>140</v>
      </c>
      <c r="Q6" s="20"/>
      <c r="R6" s="20" t="s">
        <v>4142</v>
      </c>
      <c r="S6" s="20" t="s">
        <v>57</v>
      </c>
      <c r="T6" s="20" t="s">
        <v>4143</v>
      </c>
      <c r="U6" s="20" t="s">
        <v>140</v>
      </c>
      <c r="V6" s="20" t="s">
        <v>4502</v>
      </c>
      <c r="W6" s="20" t="s">
        <v>4503</v>
      </c>
      <c r="X6" s="20" t="s">
        <v>4504</v>
      </c>
      <c r="Y6" s="20" t="s">
        <v>63</v>
      </c>
      <c r="Z6" s="20" t="s">
        <v>4505</v>
      </c>
      <c r="AA6" s="20" t="s">
        <v>4506</v>
      </c>
      <c r="AB6" s="20"/>
      <c r="AC6" s="20" t="s">
        <v>4507</v>
      </c>
      <c r="AD6" s="20"/>
      <c r="AE6" s="20" t="s">
        <v>3884</v>
      </c>
      <c r="AF6" s="20"/>
      <c r="AG6" s="20" t="s">
        <v>4506</v>
      </c>
      <c r="AH6" s="20" t="s">
        <v>4508</v>
      </c>
      <c r="AI6" s="20"/>
      <c r="AJ6" s="20"/>
      <c r="AK6" s="20" t="s">
        <v>4500</v>
      </c>
      <c r="AL6" s="20"/>
    </row>
    <row r="7" ht="60.0" customHeight="1">
      <c r="A7" s="20" t="s">
        <v>4509</v>
      </c>
      <c r="B7" s="20" t="s">
        <v>3142</v>
      </c>
      <c r="C7" s="20" t="s">
        <v>4455</v>
      </c>
      <c r="D7" s="21" t="s">
        <v>2027</v>
      </c>
      <c r="E7" s="20" t="s">
        <v>2734</v>
      </c>
      <c r="F7" s="20" t="s">
        <v>4483</v>
      </c>
      <c r="G7" s="20"/>
      <c r="H7" s="22"/>
      <c r="I7" s="22">
        <f>'17024 OCH'!$H7+'17025 SAL'!$AN$1</f>
        <v>1460</v>
      </c>
      <c r="J7" s="22"/>
      <c r="K7" s="20"/>
      <c r="L7" s="20" t="s">
        <v>4018</v>
      </c>
      <c r="M7" s="20" t="s">
        <v>1403</v>
      </c>
      <c r="N7" s="20" t="s">
        <v>1404</v>
      </c>
      <c r="O7" s="20" t="s">
        <v>4019</v>
      </c>
      <c r="P7" s="20" t="s">
        <v>3987</v>
      </c>
      <c r="Q7" s="20" t="s">
        <v>55</v>
      </c>
      <c r="R7" s="20" t="s">
        <v>4020</v>
      </c>
      <c r="S7" s="20" t="s">
        <v>121</v>
      </c>
      <c r="T7" s="20" t="s">
        <v>4021</v>
      </c>
      <c r="U7" s="20" t="s">
        <v>4022</v>
      </c>
      <c r="V7" s="20" t="s">
        <v>4023</v>
      </c>
      <c r="W7" s="20">
        <v>2.04510487E8</v>
      </c>
      <c r="X7" s="20" t="s">
        <v>346</v>
      </c>
      <c r="Y7" s="20" t="s">
        <v>264</v>
      </c>
      <c r="Z7" s="20" t="s">
        <v>4024</v>
      </c>
      <c r="AA7" s="20" t="s">
        <v>4025</v>
      </c>
      <c r="AB7" s="20"/>
      <c r="AC7" s="20" t="s">
        <v>108</v>
      </c>
      <c r="AD7" s="20"/>
      <c r="AE7" s="20" t="s">
        <v>4018</v>
      </c>
      <c r="AF7" s="20" t="s">
        <v>1406</v>
      </c>
      <c r="AG7" s="20" t="s">
        <v>4020</v>
      </c>
      <c r="AH7" s="20" t="s">
        <v>3987</v>
      </c>
      <c r="AI7" s="52" t="s">
        <v>1403</v>
      </c>
      <c r="AJ7" s="20" t="s">
        <v>4026</v>
      </c>
      <c r="AK7" s="20" t="s">
        <v>4027</v>
      </c>
      <c r="AL7" s="20"/>
    </row>
    <row r="8" ht="15.75" customHeight="1">
      <c r="A8" s="149"/>
      <c r="B8" s="149"/>
      <c r="C8" s="149"/>
      <c r="D8" s="150"/>
      <c r="E8" s="149"/>
      <c r="F8" s="149"/>
      <c r="G8" s="151"/>
      <c r="H8" s="152"/>
      <c r="I8" s="152"/>
      <c r="J8" s="152"/>
      <c r="K8" s="149"/>
      <c r="L8" s="149"/>
      <c r="M8" s="149"/>
      <c r="N8" s="149"/>
      <c r="O8" s="149"/>
      <c r="P8" s="149"/>
      <c r="Q8" s="149"/>
      <c r="R8" s="149"/>
      <c r="S8" s="149"/>
      <c r="T8" s="149"/>
      <c r="U8" s="149"/>
      <c r="V8" s="149"/>
      <c r="W8" s="149"/>
      <c r="X8" s="149"/>
      <c r="Y8" s="149"/>
      <c r="Z8" s="149"/>
      <c r="AA8" s="149"/>
      <c r="AB8" s="146"/>
      <c r="AC8" s="149"/>
      <c r="AD8" s="149"/>
      <c r="AE8" s="149"/>
      <c r="AF8" s="149"/>
      <c r="AG8" s="149"/>
      <c r="AH8" s="149"/>
      <c r="AI8" s="149"/>
      <c r="AJ8" s="149"/>
      <c r="AK8" s="149"/>
      <c r="AL8" s="149"/>
    </row>
    <row r="9" ht="48.75" customHeight="1">
      <c r="D9" s="128"/>
      <c r="G9" s="153"/>
      <c r="H9" s="154"/>
      <c r="I9" s="154"/>
      <c r="J9" s="154"/>
      <c r="AB9" s="123"/>
    </row>
    <row r="10" ht="15.75" customHeight="1">
      <c r="D10" s="128"/>
      <c r="G10" s="153"/>
      <c r="H10" s="154"/>
      <c r="I10" s="154"/>
      <c r="J10" s="154"/>
      <c r="AB10" s="123"/>
    </row>
    <row r="11" ht="15.75" customHeight="1">
      <c r="D11" s="128"/>
      <c r="G11" s="153"/>
      <c r="H11" s="154"/>
      <c r="I11" s="154"/>
      <c r="J11" s="154"/>
      <c r="AB11" s="123"/>
    </row>
    <row r="12" ht="15.75" customHeight="1">
      <c r="D12" s="128"/>
      <c r="G12" s="153"/>
      <c r="H12" s="154"/>
      <c r="I12" s="154"/>
      <c r="J12" s="154"/>
      <c r="AB12" s="123"/>
    </row>
    <row r="13" ht="15.75" customHeight="1">
      <c r="D13" s="128"/>
      <c r="G13" s="153"/>
      <c r="H13" s="154"/>
      <c r="I13" s="154"/>
      <c r="J13" s="154"/>
      <c r="AB13" s="123"/>
    </row>
    <row r="14" ht="15.75" customHeight="1">
      <c r="D14" s="128"/>
      <c r="G14" s="153"/>
      <c r="H14" s="154"/>
      <c r="I14" s="154"/>
      <c r="J14" s="154"/>
      <c r="AB14" s="123"/>
    </row>
    <row r="15" ht="15.0" customHeight="1">
      <c r="B15" s="131"/>
      <c r="D15" s="128"/>
      <c r="G15" s="153"/>
      <c r="H15" s="154"/>
      <c r="I15" s="154"/>
      <c r="J15" s="154"/>
      <c r="AB15" s="123"/>
    </row>
    <row r="16" ht="15.0" customHeight="1">
      <c r="B16" s="131"/>
      <c r="D16" s="128"/>
      <c r="G16" s="153"/>
      <c r="H16" s="154"/>
      <c r="I16" s="154"/>
      <c r="J16" s="154"/>
      <c r="AB16" s="123"/>
    </row>
    <row r="17" ht="15.0" customHeight="1">
      <c r="A17" s="101" t="s">
        <v>3266</v>
      </c>
      <c r="D17" s="128"/>
      <c r="G17" s="153"/>
      <c r="H17" s="154"/>
      <c r="I17" s="154"/>
      <c r="J17" s="154"/>
      <c r="AB17" s="123"/>
    </row>
    <row r="18" ht="15.0" customHeight="1">
      <c r="A18" s="102" t="s">
        <v>11</v>
      </c>
      <c r="B18" s="103"/>
      <c r="D18" s="128"/>
      <c r="G18" s="153"/>
      <c r="H18" s="154"/>
      <c r="I18" s="154"/>
      <c r="J18" s="154"/>
      <c r="AB18" s="123"/>
    </row>
    <row r="19" ht="15.0" customHeight="1">
      <c r="A19" s="21" t="s">
        <v>48</v>
      </c>
      <c r="B19" s="104" t="s">
        <v>3267</v>
      </c>
      <c r="D19" s="128"/>
      <c r="G19" s="153"/>
      <c r="H19" s="154"/>
      <c r="I19" s="154"/>
      <c r="J19" s="154"/>
      <c r="AB19" s="123"/>
    </row>
    <row r="20" ht="15.0" customHeight="1">
      <c r="A20" s="21" t="s">
        <v>822</v>
      </c>
      <c r="B20" s="104" t="s">
        <v>3268</v>
      </c>
      <c r="D20" s="128"/>
      <c r="G20" s="153"/>
      <c r="H20" s="154"/>
      <c r="I20" s="154"/>
      <c r="J20" s="154"/>
      <c r="AB20" s="123"/>
    </row>
    <row r="21" ht="15.0" customHeight="1">
      <c r="A21" s="21" t="s">
        <v>213</v>
      </c>
      <c r="B21" s="104" t="s">
        <v>3269</v>
      </c>
      <c r="D21" s="128"/>
      <c r="G21" s="153"/>
      <c r="H21" s="154"/>
      <c r="I21" s="154"/>
      <c r="J21" s="154"/>
      <c r="AB21" s="123"/>
    </row>
    <row r="22" ht="15.0" customHeight="1">
      <c r="A22" s="21" t="s">
        <v>314</v>
      </c>
      <c r="B22" s="104" t="s">
        <v>3270</v>
      </c>
      <c r="D22" s="128"/>
      <c r="G22" s="153"/>
      <c r="H22" s="154"/>
      <c r="I22" s="154"/>
      <c r="J22" s="154"/>
      <c r="AB22" s="123"/>
    </row>
    <row r="23" ht="15.0" customHeight="1">
      <c r="A23" s="21" t="s">
        <v>2027</v>
      </c>
      <c r="B23" s="104" t="s">
        <v>3271</v>
      </c>
      <c r="D23" s="128"/>
      <c r="G23" s="153"/>
      <c r="H23" s="154"/>
      <c r="I23" s="154"/>
      <c r="J23" s="154"/>
      <c r="AB23" s="123"/>
    </row>
    <row r="24" ht="15.0" customHeight="1">
      <c r="A24" s="21" t="s">
        <v>2911</v>
      </c>
      <c r="B24" s="104" t="s">
        <v>3272</v>
      </c>
      <c r="D24" s="128"/>
      <c r="G24" s="153"/>
      <c r="H24" s="154"/>
      <c r="I24" s="154"/>
      <c r="J24" s="154"/>
      <c r="AB24" s="149"/>
    </row>
    <row r="25" ht="15.75" customHeight="1">
      <c r="D25" s="128"/>
      <c r="G25" s="153"/>
      <c r="H25" s="154"/>
      <c r="I25" s="154"/>
      <c r="J25" s="154"/>
    </row>
    <row r="26" ht="15.75" customHeight="1">
      <c r="D26" s="128"/>
      <c r="G26" s="153"/>
      <c r="H26" s="154"/>
      <c r="I26" s="154"/>
      <c r="J26" s="154"/>
    </row>
    <row r="27" ht="15.75" customHeight="1">
      <c r="D27" s="128"/>
      <c r="G27" s="153"/>
      <c r="H27" s="154"/>
      <c r="I27" s="154"/>
      <c r="J27" s="154"/>
    </row>
    <row r="28" ht="15.75" customHeight="1">
      <c r="D28" s="128"/>
      <c r="G28" s="153"/>
      <c r="H28" s="154"/>
      <c r="I28" s="154"/>
      <c r="J28" s="154"/>
    </row>
    <row r="29" ht="15.75" customHeight="1">
      <c r="D29" s="128"/>
      <c r="G29" s="153"/>
      <c r="H29" s="154"/>
      <c r="I29" s="154"/>
      <c r="J29" s="154"/>
    </row>
    <row r="30" ht="15.75" customHeight="1">
      <c r="D30" s="128"/>
      <c r="G30" s="153"/>
      <c r="H30" s="154"/>
      <c r="I30" s="154"/>
      <c r="J30" s="154"/>
    </row>
    <row r="31" ht="15.75" customHeight="1">
      <c r="D31" s="128"/>
      <c r="G31" s="153"/>
      <c r="H31" s="154"/>
      <c r="I31" s="154"/>
      <c r="J31" s="154"/>
    </row>
    <row r="32" ht="15.75" customHeight="1">
      <c r="D32" s="128"/>
      <c r="G32" s="153"/>
      <c r="H32" s="154"/>
      <c r="I32" s="154"/>
      <c r="J32" s="154"/>
    </row>
    <row r="33" ht="15.75" customHeight="1">
      <c r="D33" s="128"/>
      <c r="G33" s="153"/>
      <c r="H33" s="154"/>
      <c r="I33" s="154"/>
      <c r="J33" s="154"/>
    </row>
    <row r="34" ht="15.75" customHeight="1">
      <c r="D34" s="128"/>
      <c r="G34" s="153"/>
      <c r="H34" s="154"/>
      <c r="I34" s="154"/>
      <c r="J34" s="154"/>
    </row>
    <row r="35" ht="15.75" customHeight="1">
      <c r="D35" s="128"/>
      <c r="G35" s="153"/>
      <c r="H35" s="154"/>
      <c r="I35" s="154"/>
      <c r="J35" s="154"/>
    </row>
    <row r="36" ht="15.75" customHeight="1">
      <c r="D36" s="128"/>
      <c r="G36" s="153"/>
      <c r="H36" s="154"/>
      <c r="I36" s="154"/>
      <c r="J36" s="154"/>
    </row>
    <row r="37" ht="15.75" customHeight="1">
      <c r="D37" s="128"/>
      <c r="G37" s="153"/>
      <c r="H37" s="154"/>
      <c r="I37" s="154"/>
      <c r="J37" s="154"/>
    </row>
    <row r="38" ht="15.75" customHeight="1">
      <c r="D38" s="128"/>
      <c r="G38" s="153"/>
      <c r="H38" s="154"/>
      <c r="I38" s="154"/>
      <c r="J38" s="154"/>
    </row>
    <row r="39" ht="15.75" customHeight="1">
      <c r="D39" s="128"/>
      <c r="G39" s="153"/>
      <c r="H39" s="154"/>
      <c r="I39" s="154"/>
      <c r="J39" s="154"/>
    </row>
    <row r="40" ht="15.75" customHeight="1">
      <c r="D40" s="128"/>
      <c r="G40" s="153"/>
      <c r="H40" s="154"/>
      <c r="I40" s="154"/>
      <c r="J40" s="154"/>
    </row>
    <row r="41" ht="15.75" customHeight="1">
      <c r="D41" s="128"/>
      <c r="G41" s="153"/>
      <c r="H41" s="154"/>
      <c r="I41" s="154"/>
      <c r="J41" s="154"/>
    </row>
    <row r="42" ht="15.75" customHeight="1">
      <c r="D42" s="128"/>
      <c r="G42" s="153"/>
      <c r="H42" s="154"/>
      <c r="I42" s="154"/>
      <c r="J42" s="154"/>
    </row>
    <row r="43" ht="15.75" customHeight="1">
      <c r="D43" s="128"/>
      <c r="G43" s="153"/>
      <c r="H43" s="154"/>
      <c r="I43" s="154"/>
      <c r="J43" s="154"/>
    </row>
    <row r="44" ht="15.75" customHeight="1">
      <c r="D44" s="128"/>
      <c r="G44" s="153"/>
      <c r="H44" s="154"/>
      <c r="I44" s="154"/>
      <c r="J44" s="154"/>
    </row>
    <row r="45" ht="15.75" customHeight="1">
      <c r="D45" s="128"/>
      <c r="G45" s="153"/>
      <c r="H45" s="154"/>
      <c r="I45" s="154"/>
      <c r="J45" s="154"/>
    </row>
    <row r="46" ht="15.75" customHeight="1">
      <c r="D46" s="128"/>
      <c r="G46" s="153"/>
      <c r="H46" s="154"/>
      <c r="I46" s="154"/>
      <c r="J46" s="154"/>
    </row>
    <row r="47" ht="15.75" customHeight="1">
      <c r="D47" s="128"/>
      <c r="G47" s="153"/>
      <c r="H47" s="154"/>
      <c r="I47" s="154"/>
      <c r="J47" s="154"/>
    </row>
    <row r="48" ht="15.75" customHeight="1">
      <c r="D48" s="128"/>
      <c r="G48" s="153"/>
      <c r="H48" s="154"/>
      <c r="I48" s="154"/>
      <c r="J48" s="154"/>
    </row>
    <row r="49" ht="15.75" customHeight="1">
      <c r="D49" s="128"/>
      <c r="G49" s="153"/>
      <c r="H49" s="154"/>
      <c r="I49" s="154"/>
      <c r="J49" s="154"/>
    </row>
    <row r="50" ht="15.75" customHeight="1">
      <c r="D50" s="128"/>
      <c r="G50" s="153"/>
      <c r="H50" s="154"/>
      <c r="I50" s="154"/>
      <c r="J50" s="154"/>
    </row>
    <row r="51" ht="15.75" customHeight="1">
      <c r="D51" s="128"/>
      <c r="G51" s="153"/>
      <c r="H51" s="154"/>
      <c r="I51" s="154"/>
      <c r="J51" s="154"/>
    </row>
    <row r="52" ht="15.75" customHeight="1">
      <c r="D52" s="128"/>
      <c r="G52" s="153"/>
      <c r="H52" s="154"/>
      <c r="I52" s="154"/>
      <c r="J52" s="154"/>
    </row>
    <row r="53" ht="15.75" customHeight="1">
      <c r="D53" s="128"/>
      <c r="G53" s="153"/>
      <c r="H53" s="154"/>
      <c r="I53" s="154"/>
      <c r="J53" s="154"/>
    </row>
    <row r="54" ht="15.75" customHeight="1">
      <c r="D54" s="128"/>
      <c r="G54" s="153"/>
      <c r="H54" s="154"/>
      <c r="I54" s="154"/>
      <c r="J54" s="154"/>
    </row>
    <row r="55" ht="15.75" customHeight="1">
      <c r="D55" s="128"/>
      <c r="G55" s="153"/>
      <c r="H55" s="154"/>
      <c r="I55" s="154"/>
      <c r="J55" s="154"/>
    </row>
    <row r="56" ht="15.75" customHeight="1">
      <c r="D56" s="128"/>
      <c r="G56" s="153"/>
      <c r="H56" s="154"/>
      <c r="I56" s="154"/>
      <c r="J56" s="154"/>
    </row>
    <row r="57" ht="15.75" customHeight="1">
      <c r="D57" s="128"/>
      <c r="G57" s="153"/>
      <c r="H57" s="154"/>
      <c r="I57" s="154"/>
      <c r="J57" s="154"/>
    </row>
    <row r="58" ht="15.75" customHeight="1">
      <c r="D58" s="128"/>
      <c r="G58" s="153"/>
      <c r="H58" s="154"/>
      <c r="I58" s="154"/>
      <c r="J58" s="154"/>
    </row>
    <row r="59" ht="15.75" customHeight="1">
      <c r="D59" s="128"/>
      <c r="G59" s="153"/>
      <c r="H59" s="154"/>
      <c r="I59" s="154"/>
      <c r="J59" s="154"/>
    </row>
    <row r="60" ht="15.75" customHeight="1">
      <c r="D60" s="128"/>
      <c r="G60" s="153"/>
      <c r="H60" s="154"/>
      <c r="I60" s="154"/>
      <c r="J60" s="154"/>
    </row>
    <row r="61" ht="15.75" customHeight="1">
      <c r="D61" s="128"/>
      <c r="G61" s="153"/>
      <c r="H61" s="154"/>
      <c r="I61" s="154"/>
      <c r="J61" s="154"/>
    </row>
    <row r="62" ht="15.75" customHeight="1">
      <c r="D62" s="128"/>
      <c r="G62" s="153"/>
      <c r="H62" s="154"/>
      <c r="I62" s="154"/>
      <c r="J62" s="154"/>
    </row>
    <row r="63" ht="15.75" customHeight="1">
      <c r="D63" s="128"/>
      <c r="G63" s="153"/>
      <c r="H63" s="154"/>
      <c r="I63" s="154"/>
      <c r="J63" s="154"/>
    </row>
    <row r="64" ht="15.75" customHeight="1">
      <c r="D64" s="128"/>
      <c r="G64" s="153"/>
      <c r="H64" s="154"/>
      <c r="I64" s="154"/>
      <c r="J64" s="154"/>
    </row>
    <row r="65" ht="15.75" customHeight="1">
      <c r="D65" s="128"/>
      <c r="G65" s="153"/>
      <c r="H65" s="154"/>
      <c r="I65" s="154"/>
      <c r="J65" s="154"/>
    </row>
    <row r="66" ht="15.75" customHeight="1">
      <c r="D66" s="128"/>
      <c r="G66" s="153"/>
      <c r="H66" s="154"/>
      <c r="I66" s="154"/>
      <c r="J66" s="154"/>
    </row>
    <row r="67" ht="15.75" customHeight="1">
      <c r="D67" s="128"/>
      <c r="G67" s="153"/>
      <c r="H67" s="154"/>
      <c r="I67" s="154"/>
      <c r="J67" s="154"/>
    </row>
    <row r="68" ht="15.75" customHeight="1">
      <c r="D68" s="128"/>
      <c r="G68" s="153"/>
      <c r="H68" s="154"/>
      <c r="I68" s="154"/>
      <c r="J68" s="154"/>
    </row>
    <row r="69" ht="15.75" customHeight="1">
      <c r="D69" s="128"/>
      <c r="G69" s="153"/>
      <c r="H69" s="154"/>
      <c r="I69" s="154"/>
      <c r="J69" s="154"/>
    </row>
    <row r="70" ht="15.75" customHeight="1">
      <c r="D70" s="128"/>
      <c r="G70" s="153"/>
      <c r="H70" s="154"/>
      <c r="I70" s="154"/>
      <c r="J70" s="154"/>
    </row>
    <row r="71" ht="15.75" customHeight="1">
      <c r="D71" s="128"/>
      <c r="G71" s="153"/>
      <c r="H71" s="154"/>
      <c r="I71" s="154"/>
      <c r="J71" s="154"/>
    </row>
    <row r="72" ht="15.75" customHeight="1">
      <c r="D72" s="128"/>
      <c r="G72" s="153"/>
      <c r="H72" s="154"/>
      <c r="I72" s="154"/>
      <c r="J72" s="154"/>
    </row>
    <row r="73" ht="15.75" customHeight="1">
      <c r="D73" s="128"/>
      <c r="G73" s="153"/>
      <c r="H73" s="154"/>
      <c r="I73" s="154"/>
      <c r="J73" s="154"/>
    </row>
    <row r="74" ht="15.75" customHeight="1">
      <c r="D74" s="128"/>
      <c r="G74" s="153"/>
      <c r="H74" s="154"/>
      <c r="I74" s="154"/>
      <c r="J74" s="154"/>
    </row>
    <row r="75" ht="15.75" customHeight="1">
      <c r="D75" s="128"/>
      <c r="G75" s="153"/>
      <c r="H75" s="154"/>
      <c r="I75" s="154"/>
      <c r="J75" s="154"/>
    </row>
    <row r="76" ht="15.75" customHeight="1">
      <c r="D76" s="128"/>
      <c r="G76" s="153"/>
      <c r="H76" s="154"/>
      <c r="I76" s="154"/>
      <c r="J76" s="154"/>
    </row>
    <row r="77" ht="15.75" customHeight="1">
      <c r="D77" s="128"/>
      <c r="G77" s="153"/>
      <c r="H77" s="154"/>
      <c r="I77" s="154"/>
      <c r="J77" s="154"/>
    </row>
    <row r="78" ht="15.75" customHeight="1">
      <c r="D78" s="128"/>
      <c r="G78" s="153"/>
      <c r="H78" s="154"/>
      <c r="I78" s="154"/>
      <c r="J78" s="154"/>
    </row>
    <row r="79" ht="15.75" customHeight="1">
      <c r="D79" s="128"/>
      <c r="G79" s="153"/>
      <c r="H79" s="154"/>
      <c r="I79" s="154"/>
      <c r="J79" s="154"/>
    </row>
    <row r="80" ht="15.75" customHeight="1">
      <c r="D80" s="128"/>
      <c r="G80" s="153"/>
      <c r="H80" s="154"/>
      <c r="I80" s="154"/>
      <c r="J80" s="154"/>
    </row>
    <row r="81" ht="15.75" customHeight="1">
      <c r="D81" s="128"/>
      <c r="G81" s="153"/>
      <c r="H81" s="154"/>
      <c r="I81" s="154"/>
      <c r="J81" s="154"/>
    </row>
    <row r="82" ht="15.75" customHeight="1">
      <c r="D82" s="128"/>
      <c r="G82" s="153"/>
      <c r="H82" s="154"/>
      <c r="I82" s="154"/>
      <c r="J82" s="154"/>
    </row>
    <row r="83" ht="15.75" customHeight="1">
      <c r="D83" s="128"/>
      <c r="G83" s="153"/>
      <c r="H83" s="154"/>
      <c r="I83" s="154"/>
      <c r="J83" s="154"/>
    </row>
    <row r="84" ht="15.75" customHeight="1">
      <c r="D84" s="128"/>
      <c r="G84" s="153"/>
      <c r="H84" s="154"/>
      <c r="I84" s="154"/>
      <c r="J84" s="154"/>
    </row>
    <row r="85" ht="15.75" customHeight="1">
      <c r="D85" s="128"/>
      <c r="G85" s="153"/>
      <c r="H85" s="154"/>
      <c r="I85" s="154"/>
      <c r="J85" s="154"/>
    </row>
    <row r="86" ht="15.75" customHeight="1">
      <c r="D86" s="128"/>
      <c r="G86" s="153"/>
      <c r="H86" s="154"/>
      <c r="I86" s="154"/>
      <c r="J86" s="154"/>
    </row>
    <row r="87" ht="15.75" customHeight="1">
      <c r="D87" s="128"/>
      <c r="G87" s="153"/>
      <c r="H87" s="154"/>
      <c r="I87" s="154"/>
      <c r="J87" s="154"/>
    </row>
    <row r="88" ht="15.75" customHeight="1">
      <c r="D88" s="128"/>
      <c r="G88" s="153"/>
      <c r="H88" s="154"/>
      <c r="I88" s="154"/>
      <c r="J88" s="154"/>
    </row>
    <row r="89" ht="15.75" customHeight="1">
      <c r="D89" s="128"/>
      <c r="G89" s="153"/>
      <c r="H89" s="154"/>
      <c r="I89" s="154"/>
      <c r="J89" s="154"/>
    </row>
    <row r="90" ht="15.75" customHeight="1">
      <c r="D90" s="128"/>
      <c r="G90" s="153"/>
      <c r="H90" s="154"/>
      <c r="I90" s="154"/>
      <c r="J90" s="154"/>
    </row>
    <row r="91" ht="15.75" customHeight="1">
      <c r="D91" s="128"/>
      <c r="G91" s="153"/>
      <c r="H91" s="154"/>
      <c r="I91" s="154"/>
      <c r="J91" s="154"/>
    </row>
    <row r="92" ht="15.75" customHeight="1">
      <c r="D92" s="128"/>
      <c r="G92" s="153"/>
      <c r="H92" s="154"/>
      <c r="I92" s="154"/>
      <c r="J92" s="154"/>
    </row>
    <row r="93" ht="15.75" customHeight="1">
      <c r="D93" s="128"/>
      <c r="G93" s="153"/>
      <c r="H93" s="154"/>
      <c r="I93" s="154"/>
      <c r="J93" s="154"/>
    </row>
    <row r="94" ht="15.75" customHeight="1">
      <c r="D94" s="128"/>
      <c r="G94" s="153"/>
      <c r="H94" s="154"/>
      <c r="I94" s="154"/>
      <c r="J94" s="154"/>
    </row>
    <row r="95" ht="15.75" customHeight="1">
      <c r="D95" s="128"/>
      <c r="G95" s="153"/>
      <c r="H95" s="154"/>
      <c r="I95" s="154"/>
      <c r="J95" s="154"/>
    </row>
    <row r="96" ht="15.75" customHeight="1">
      <c r="D96" s="128"/>
      <c r="G96" s="153"/>
      <c r="H96" s="154"/>
      <c r="I96" s="154"/>
      <c r="J96" s="154"/>
    </row>
    <row r="97" ht="15.75" customHeight="1">
      <c r="D97" s="128"/>
      <c r="G97" s="153"/>
      <c r="H97" s="154"/>
      <c r="I97" s="154"/>
      <c r="J97" s="154"/>
    </row>
    <row r="98" ht="15.75" customHeight="1">
      <c r="D98" s="128"/>
      <c r="G98" s="153"/>
      <c r="H98" s="154"/>
      <c r="I98" s="154"/>
      <c r="J98" s="154"/>
    </row>
    <row r="99" ht="15.75" customHeight="1">
      <c r="D99" s="128"/>
      <c r="G99" s="153"/>
      <c r="H99" s="154"/>
      <c r="I99" s="154"/>
      <c r="J99" s="154"/>
    </row>
    <row r="100" ht="15.75" customHeight="1">
      <c r="D100" s="128"/>
      <c r="G100" s="153"/>
      <c r="H100" s="154"/>
      <c r="I100" s="154"/>
      <c r="J100" s="154"/>
    </row>
    <row r="101" ht="15.75" customHeight="1">
      <c r="D101" s="128"/>
      <c r="G101" s="153"/>
      <c r="H101" s="154"/>
      <c r="I101" s="154"/>
      <c r="J101" s="154"/>
    </row>
    <row r="102" ht="15.75" customHeight="1">
      <c r="D102" s="128"/>
      <c r="G102" s="153"/>
      <c r="H102" s="154"/>
      <c r="I102" s="154"/>
      <c r="J102" s="154"/>
    </row>
    <row r="103" ht="15.75" customHeight="1">
      <c r="D103" s="128"/>
      <c r="G103" s="153"/>
      <c r="H103" s="154"/>
      <c r="I103" s="154"/>
      <c r="J103" s="154"/>
    </row>
    <row r="104" ht="15.75" customHeight="1">
      <c r="D104" s="128"/>
      <c r="G104" s="153"/>
      <c r="H104" s="154"/>
      <c r="I104" s="154"/>
      <c r="J104" s="154"/>
    </row>
    <row r="105" ht="15.75" customHeight="1">
      <c r="D105" s="128"/>
      <c r="G105" s="153"/>
      <c r="H105" s="154"/>
      <c r="I105" s="154"/>
      <c r="J105" s="154"/>
    </row>
    <row r="106" ht="15.75" customHeight="1">
      <c r="D106" s="128"/>
      <c r="G106" s="153"/>
      <c r="H106" s="154"/>
      <c r="I106" s="154"/>
      <c r="J106" s="154"/>
    </row>
    <row r="107" ht="15.75" customHeight="1">
      <c r="D107" s="128"/>
      <c r="G107" s="153"/>
      <c r="H107" s="154"/>
      <c r="I107" s="154"/>
      <c r="J107" s="154"/>
    </row>
    <row r="108" ht="15.75" customHeight="1">
      <c r="D108" s="128"/>
      <c r="G108" s="153"/>
      <c r="H108" s="154"/>
      <c r="I108" s="154"/>
      <c r="J108" s="154"/>
    </row>
    <row r="109" ht="15.75" customHeight="1">
      <c r="D109" s="128"/>
      <c r="G109" s="153"/>
      <c r="H109" s="154"/>
      <c r="I109" s="154"/>
      <c r="J109" s="154"/>
    </row>
    <row r="110" ht="15.75" customHeight="1">
      <c r="D110" s="128"/>
      <c r="G110" s="153"/>
      <c r="H110" s="154"/>
      <c r="I110" s="154"/>
      <c r="J110" s="154"/>
    </row>
    <row r="111" ht="15.75" customHeight="1">
      <c r="D111" s="128"/>
      <c r="G111" s="153"/>
      <c r="H111" s="154"/>
      <c r="I111" s="154"/>
      <c r="J111" s="154"/>
    </row>
    <row r="112" ht="15.75" customHeight="1">
      <c r="D112" s="128"/>
      <c r="G112" s="153"/>
      <c r="H112" s="154"/>
      <c r="I112" s="154"/>
      <c r="J112" s="154"/>
    </row>
    <row r="113" ht="15.75" customHeight="1">
      <c r="D113" s="128"/>
      <c r="G113" s="153"/>
      <c r="H113" s="154"/>
      <c r="I113" s="154"/>
      <c r="J113" s="154"/>
    </row>
    <row r="114" ht="15.75" customHeight="1">
      <c r="D114" s="128"/>
      <c r="G114" s="153"/>
      <c r="H114" s="154"/>
      <c r="I114" s="154"/>
      <c r="J114" s="154"/>
    </row>
    <row r="115" ht="15.75" customHeight="1">
      <c r="D115" s="128"/>
      <c r="G115" s="153"/>
      <c r="H115" s="154"/>
      <c r="I115" s="154"/>
      <c r="J115" s="154"/>
    </row>
    <row r="116" ht="15.75" customHeight="1">
      <c r="D116" s="128"/>
      <c r="G116" s="153"/>
      <c r="H116" s="154"/>
      <c r="I116" s="154"/>
      <c r="J116" s="154"/>
    </row>
    <row r="117" ht="15.75" customHeight="1">
      <c r="D117" s="128"/>
      <c r="G117" s="153"/>
      <c r="H117" s="154"/>
      <c r="I117" s="154"/>
      <c r="J117" s="154"/>
    </row>
    <row r="118" ht="15.75" customHeight="1">
      <c r="D118" s="128"/>
      <c r="G118" s="153"/>
      <c r="H118" s="154"/>
      <c r="I118" s="154"/>
      <c r="J118" s="154"/>
    </row>
    <row r="119" ht="15.75" customHeight="1">
      <c r="D119" s="128"/>
      <c r="G119" s="153"/>
      <c r="H119" s="154"/>
      <c r="I119" s="154"/>
      <c r="J119" s="154"/>
    </row>
    <row r="120" ht="15.75" customHeight="1">
      <c r="D120" s="128"/>
      <c r="G120" s="153"/>
      <c r="H120" s="154"/>
      <c r="I120" s="154"/>
      <c r="J120" s="154"/>
    </row>
    <row r="121" ht="15.75" customHeight="1">
      <c r="D121" s="128"/>
      <c r="G121" s="153"/>
      <c r="H121" s="154"/>
      <c r="I121" s="154"/>
      <c r="J121" s="154"/>
    </row>
    <row r="122" ht="15.75" customHeight="1">
      <c r="D122" s="128"/>
      <c r="G122" s="153"/>
      <c r="H122" s="154"/>
      <c r="I122" s="154"/>
      <c r="J122" s="154"/>
    </row>
    <row r="123" ht="15.75" customHeight="1">
      <c r="D123" s="128"/>
      <c r="G123" s="153"/>
      <c r="H123" s="154"/>
      <c r="I123" s="154"/>
      <c r="J123" s="154"/>
    </row>
    <row r="124" ht="15.75" customHeight="1">
      <c r="D124" s="128"/>
      <c r="G124" s="153"/>
      <c r="H124" s="154"/>
      <c r="I124" s="154"/>
      <c r="J124" s="154"/>
    </row>
    <row r="125" ht="15.75" customHeight="1">
      <c r="D125" s="128"/>
      <c r="G125" s="153"/>
      <c r="H125" s="154"/>
      <c r="I125" s="154"/>
      <c r="J125" s="154"/>
    </row>
    <row r="126" ht="15.75" customHeight="1">
      <c r="D126" s="128"/>
      <c r="G126" s="153"/>
      <c r="H126" s="154"/>
      <c r="I126" s="154"/>
      <c r="J126" s="154"/>
    </row>
    <row r="127" ht="15.75" customHeight="1">
      <c r="D127" s="128"/>
      <c r="G127" s="153"/>
      <c r="H127" s="154"/>
      <c r="I127" s="154"/>
      <c r="J127" s="154"/>
    </row>
    <row r="128" ht="15.75" customHeight="1">
      <c r="D128" s="128"/>
      <c r="G128" s="153"/>
      <c r="H128" s="154"/>
      <c r="I128" s="154"/>
      <c r="J128" s="154"/>
    </row>
    <row r="129" ht="15.75" customHeight="1">
      <c r="D129" s="128"/>
      <c r="G129" s="153"/>
      <c r="H129" s="154"/>
      <c r="I129" s="154"/>
      <c r="J129" s="154"/>
    </row>
    <row r="130" ht="15.75" customHeight="1">
      <c r="D130" s="128"/>
      <c r="G130" s="153"/>
      <c r="H130" s="154"/>
      <c r="I130" s="154"/>
      <c r="J130" s="154"/>
    </row>
    <row r="131" ht="15.75" customHeight="1">
      <c r="D131" s="128"/>
      <c r="G131" s="153"/>
      <c r="H131" s="154"/>
      <c r="I131" s="154"/>
      <c r="J131" s="154"/>
    </row>
    <row r="132" ht="15.75" customHeight="1">
      <c r="D132" s="128"/>
      <c r="G132" s="153"/>
      <c r="H132" s="154"/>
      <c r="I132" s="154"/>
      <c r="J132" s="154"/>
    </row>
    <row r="133" ht="15.75" customHeight="1">
      <c r="D133" s="128"/>
      <c r="G133" s="153"/>
      <c r="H133" s="154"/>
      <c r="I133" s="154"/>
      <c r="J133" s="154"/>
    </row>
    <row r="134" ht="15.75" customHeight="1">
      <c r="D134" s="128"/>
      <c r="G134" s="153"/>
      <c r="H134" s="154"/>
      <c r="I134" s="154"/>
      <c r="J134" s="154"/>
    </row>
    <row r="135" ht="15.75" customHeight="1">
      <c r="D135" s="128"/>
      <c r="G135" s="153"/>
      <c r="H135" s="154"/>
      <c r="I135" s="154"/>
      <c r="J135" s="154"/>
    </row>
    <row r="136" ht="15.75" customHeight="1">
      <c r="D136" s="128"/>
      <c r="G136" s="153"/>
      <c r="H136" s="154"/>
      <c r="I136" s="154"/>
      <c r="J136" s="154"/>
    </row>
    <row r="137" ht="15.75" customHeight="1">
      <c r="D137" s="128"/>
      <c r="G137" s="153"/>
      <c r="H137" s="154"/>
      <c r="I137" s="154"/>
      <c r="J137" s="154"/>
    </row>
    <row r="138" ht="15.75" customHeight="1">
      <c r="D138" s="128"/>
      <c r="G138" s="153"/>
      <c r="H138" s="154"/>
      <c r="I138" s="154"/>
      <c r="J138" s="154"/>
    </row>
    <row r="139" ht="15.75" customHeight="1">
      <c r="D139" s="128"/>
      <c r="G139" s="153"/>
      <c r="H139" s="154"/>
      <c r="I139" s="154"/>
      <c r="J139" s="154"/>
    </row>
    <row r="140" ht="15.75" customHeight="1">
      <c r="D140" s="128"/>
      <c r="G140" s="153"/>
      <c r="H140" s="154"/>
      <c r="I140" s="154"/>
      <c r="J140" s="154"/>
    </row>
    <row r="141" ht="15.75" customHeight="1">
      <c r="D141" s="128"/>
      <c r="G141" s="153"/>
      <c r="H141" s="154"/>
      <c r="I141" s="154"/>
      <c r="J141" s="154"/>
    </row>
    <row r="142" ht="15.75" customHeight="1">
      <c r="D142" s="128"/>
      <c r="G142" s="153"/>
      <c r="H142" s="154"/>
      <c r="I142" s="154"/>
      <c r="J142" s="154"/>
    </row>
    <row r="143" ht="15.75" customHeight="1">
      <c r="D143" s="128"/>
      <c r="G143" s="153"/>
      <c r="H143" s="154"/>
      <c r="I143" s="154"/>
      <c r="J143" s="154"/>
    </row>
    <row r="144" ht="15.75" customHeight="1">
      <c r="D144" s="128"/>
      <c r="G144" s="153"/>
      <c r="H144" s="154"/>
      <c r="I144" s="154"/>
      <c r="J144" s="154"/>
    </row>
    <row r="145" ht="15.75" customHeight="1">
      <c r="D145" s="128"/>
      <c r="G145" s="153"/>
      <c r="H145" s="154"/>
      <c r="I145" s="154"/>
      <c r="J145" s="154"/>
    </row>
    <row r="146" ht="15.75" customHeight="1">
      <c r="D146" s="128"/>
      <c r="G146" s="153"/>
      <c r="H146" s="154"/>
      <c r="I146" s="154"/>
      <c r="J146" s="154"/>
    </row>
    <row r="147" ht="15.75" customHeight="1">
      <c r="D147" s="128"/>
      <c r="G147" s="153"/>
      <c r="H147" s="154"/>
      <c r="I147" s="154"/>
      <c r="J147" s="154"/>
    </row>
    <row r="148" ht="15.75" customHeight="1">
      <c r="D148" s="128"/>
      <c r="G148" s="153"/>
      <c r="H148" s="154"/>
      <c r="I148" s="154"/>
      <c r="J148" s="154"/>
    </row>
    <row r="149" ht="15.75" customHeight="1">
      <c r="D149" s="128"/>
      <c r="G149" s="153"/>
      <c r="H149" s="154"/>
      <c r="I149" s="154"/>
      <c r="J149" s="154"/>
    </row>
    <row r="150" ht="15.75" customHeight="1">
      <c r="D150" s="128"/>
      <c r="G150" s="153"/>
      <c r="H150" s="154"/>
      <c r="I150" s="154"/>
      <c r="J150" s="154"/>
    </row>
    <row r="151" ht="15.75" customHeight="1">
      <c r="D151" s="128"/>
      <c r="G151" s="153"/>
      <c r="H151" s="154"/>
      <c r="I151" s="154"/>
      <c r="J151" s="154"/>
    </row>
    <row r="152" ht="15.75" customHeight="1">
      <c r="D152" s="128"/>
      <c r="G152" s="153"/>
      <c r="H152" s="154"/>
      <c r="I152" s="154"/>
      <c r="J152" s="154"/>
    </row>
    <row r="153" ht="15.75" customHeight="1">
      <c r="D153" s="128"/>
      <c r="G153" s="153"/>
      <c r="H153" s="154"/>
      <c r="I153" s="154"/>
      <c r="J153" s="154"/>
    </row>
    <row r="154" ht="15.75" customHeight="1">
      <c r="D154" s="128"/>
      <c r="G154" s="153"/>
      <c r="H154" s="154"/>
      <c r="I154" s="154"/>
      <c r="J154" s="154"/>
    </row>
    <row r="155" ht="15.75" customHeight="1">
      <c r="D155" s="128"/>
      <c r="G155" s="153"/>
      <c r="H155" s="154"/>
      <c r="I155" s="154"/>
      <c r="J155" s="154"/>
    </row>
    <row r="156" ht="15.75" customHeight="1">
      <c r="D156" s="128"/>
      <c r="G156" s="153"/>
      <c r="H156" s="154"/>
      <c r="I156" s="154"/>
      <c r="J156" s="154"/>
    </row>
    <row r="157" ht="15.75" customHeight="1">
      <c r="D157" s="128"/>
      <c r="G157" s="153"/>
      <c r="H157" s="154"/>
      <c r="I157" s="154"/>
      <c r="J157" s="154"/>
    </row>
    <row r="158" ht="15.75" customHeight="1">
      <c r="D158" s="128"/>
      <c r="G158" s="153"/>
      <c r="H158" s="154"/>
      <c r="I158" s="154"/>
      <c r="J158" s="154"/>
    </row>
    <row r="159" ht="15.75" customHeight="1">
      <c r="D159" s="128"/>
      <c r="G159" s="153"/>
      <c r="H159" s="154"/>
      <c r="I159" s="154"/>
      <c r="J159" s="154"/>
    </row>
    <row r="160" ht="15.75" customHeight="1">
      <c r="D160" s="128"/>
      <c r="G160" s="153"/>
      <c r="H160" s="154"/>
      <c r="I160" s="154"/>
      <c r="J160" s="154"/>
    </row>
    <row r="161" ht="15.75" customHeight="1">
      <c r="D161" s="128"/>
      <c r="G161" s="153"/>
      <c r="H161" s="154"/>
      <c r="I161" s="154"/>
      <c r="J161" s="154"/>
    </row>
    <row r="162" ht="15.75" customHeight="1">
      <c r="D162" s="128"/>
      <c r="G162" s="153"/>
      <c r="H162" s="154"/>
      <c r="I162" s="154"/>
      <c r="J162" s="154"/>
    </row>
    <row r="163" ht="15.75" customHeight="1">
      <c r="D163" s="128"/>
      <c r="G163" s="153"/>
      <c r="H163" s="154"/>
      <c r="I163" s="154"/>
      <c r="J163" s="154"/>
    </row>
    <row r="164" ht="15.75" customHeight="1">
      <c r="D164" s="128"/>
      <c r="G164" s="153"/>
      <c r="H164" s="154"/>
      <c r="I164" s="154"/>
      <c r="J164" s="154"/>
    </row>
    <row r="165" ht="15.75" customHeight="1">
      <c r="D165" s="128"/>
      <c r="G165" s="153"/>
      <c r="H165" s="154"/>
      <c r="I165" s="154"/>
      <c r="J165" s="154"/>
    </row>
    <row r="166" ht="15.75" customHeight="1">
      <c r="D166" s="128"/>
      <c r="G166" s="153"/>
      <c r="H166" s="154"/>
      <c r="I166" s="154"/>
      <c r="J166" s="154"/>
    </row>
    <row r="167" ht="15.75" customHeight="1">
      <c r="D167" s="128"/>
      <c r="G167" s="153"/>
      <c r="H167" s="154"/>
      <c r="I167" s="154"/>
      <c r="J167" s="154"/>
    </row>
    <row r="168" ht="15.75" customHeight="1">
      <c r="D168" s="128"/>
      <c r="G168" s="153"/>
      <c r="H168" s="154"/>
      <c r="I168" s="154"/>
      <c r="J168" s="154"/>
    </row>
    <row r="169" ht="15.75" customHeight="1">
      <c r="D169" s="128"/>
      <c r="G169" s="153"/>
      <c r="H169" s="154"/>
      <c r="I169" s="154"/>
      <c r="J169" s="154"/>
    </row>
    <row r="170" ht="15.75" customHeight="1">
      <c r="D170" s="128"/>
      <c r="G170" s="153"/>
      <c r="H170" s="154"/>
      <c r="I170" s="154"/>
      <c r="J170" s="154"/>
    </row>
    <row r="171" ht="15.75" customHeight="1">
      <c r="D171" s="128"/>
      <c r="G171" s="153"/>
      <c r="H171" s="154"/>
      <c r="I171" s="154"/>
      <c r="J171" s="154"/>
    </row>
    <row r="172" ht="15.75" customHeight="1">
      <c r="D172" s="128"/>
      <c r="G172" s="153"/>
      <c r="H172" s="154"/>
      <c r="I172" s="154"/>
      <c r="J172" s="154"/>
    </row>
    <row r="173" ht="15.75" customHeight="1">
      <c r="D173" s="128"/>
      <c r="G173" s="153"/>
      <c r="H173" s="154"/>
      <c r="I173" s="154"/>
      <c r="J173" s="154"/>
    </row>
    <row r="174" ht="15.75" customHeight="1">
      <c r="D174" s="128"/>
      <c r="G174" s="153"/>
      <c r="H174" s="154"/>
      <c r="I174" s="154"/>
      <c r="J174" s="154"/>
    </row>
    <row r="175" ht="15.75" customHeight="1">
      <c r="D175" s="128"/>
      <c r="G175" s="153"/>
      <c r="H175" s="154"/>
      <c r="I175" s="154"/>
      <c r="J175" s="154"/>
    </row>
    <row r="176" ht="15.75" customHeight="1">
      <c r="D176" s="128"/>
      <c r="G176" s="153"/>
      <c r="H176" s="154"/>
      <c r="I176" s="154"/>
      <c r="J176" s="154"/>
    </row>
    <row r="177" ht="15.75" customHeight="1">
      <c r="D177" s="128"/>
      <c r="G177" s="153"/>
      <c r="H177" s="154"/>
      <c r="I177" s="154"/>
      <c r="J177" s="154"/>
    </row>
    <row r="178" ht="15.75" customHeight="1">
      <c r="D178" s="128"/>
      <c r="G178" s="153"/>
      <c r="H178" s="154"/>
      <c r="I178" s="154"/>
      <c r="J178" s="154"/>
    </row>
    <row r="179" ht="15.75" customHeight="1">
      <c r="D179" s="128"/>
      <c r="G179" s="153"/>
      <c r="H179" s="154"/>
      <c r="I179" s="154"/>
      <c r="J179" s="154"/>
    </row>
    <row r="180" ht="15.75" customHeight="1">
      <c r="D180" s="128"/>
      <c r="G180" s="153"/>
      <c r="H180" s="154"/>
      <c r="I180" s="154"/>
      <c r="J180" s="154"/>
    </row>
    <row r="181" ht="15.75" customHeight="1">
      <c r="D181" s="128"/>
      <c r="G181" s="153"/>
      <c r="H181" s="154"/>
      <c r="I181" s="154"/>
      <c r="J181" s="154"/>
    </row>
    <row r="182" ht="15.75" customHeight="1">
      <c r="D182" s="128"/>
      <c r="G182" s="153"/>
      <c r="H182" s="154"/>
      <c r="I182" s="154"/>
      <c r="J182" s="154"/>
    </row>
    <row r="183" ht="15.75" customHeight="1">
      <c r="D183" s="128"/>
      <c r="G183" s="153"/>
      <c r="H183" s="154"/>
      <c r="I183" s="154"/>
      <c r="J183" s="154"/>
    </row>
    <row r="184" ht="15.75" customHeight="1">
      <c r="D184" s="128"/>
      <c r="G184" s="153"/>
      <c r="H184" s="154"/>
      <c r="I184" s="154"/>
      <c r="J184" s="154"/>
    </row>
    <row r="185" ht="15.75" customHeight="1">
      <c r="D185" s="128"/>
      <c r="G185" s="153"/>
      <c r="H185" s="154"/>
      <c r="I185" s="154"/>
      <c r="J185" s="154"/>
    </row>
    <row r="186" ht="15.75" customHeight="1">
      <c r="D186" s="128"/>
      <c r="G186" s="153"/>
      <c r="H186" s="154"/>
      <c r="I186" s="154"/>
      <c r="J186" s="154"/>
    </row>
    <row r="187" ht="15.75" customHeight="1">
      <c r="D187" s="128"/>
      <c r="G187" s="153"/>
      <c r="H187" s="154"/>
      <c r="I187" s="154"/>
      <c r="J187" s="154"/>
    </row>
    <row r="188" ht="15.75" customHeight="1">
      <c r="D188" s="128"/>
      <c r="G188" s="153"/>
      <c r="H188" s="154"/>
      <c r="I188" s="154"/>
      <c r="J188" s="154"/>
    </row>
    <row r="189" ht="15.75" customHeight="1">
      <c r="D189" s="128"/>
      <c r="G189" s="153"/>
      <c r="H189" s="154"/>
      <c r="I189" s="154"/>
      <c r="J189" s="154"/>
    </row>
    <row r="190" ht="15.75" customHeight="1">
      <c r="D190" s="128"/>
      <c r="G190" s="153"/>
      <c r="H190" s="154"/>
      <c r="I190" s="154"/>
      <c r="J190" s="154"/>
    </row>
    <row r="191" ht="15.75" customHeight="1">
      <c r="D191" s="128"/>
      <c r="G191" s="153"/>
      <c r="H191" s="154"/>
      <c r="I191" s="154"/>
      <c r="J191" s="154"/>
    </row>
    <row r="192" ht="15.75" customHeight="1">
      <c r="D192" s="128"/>
      <c r="G192" s="153"/>
      <c r="H192" s="154"/>
      <c r="I192" s="154"/>
      <c r="J192" s="154"/>
    </row>
    <row r="193" ht="15.75" customHeight="1">
      <c r="D193" s="128"/>
      <c r="G193" s="153"/>
      <c r="H193" s="154"/>
      <c r="I193" s="154"/>
      <c r="J193" s="154"/>
    </row>
    <row r="194" ht="15.75" customHeight="1">
      <c r="D194" s="128"/>
      <c r="G194" s="153"/>
      <c r="H194" s="154"/>
      <c r="I194" s="154"/>
      <c r="J194" s="154"/>
    </row>
    <row r="195" ht="15.75" customHeight="1">
      <c r="D195" s="128"/>
      <c r="G195" s="153"/>
      <c r="H195" s="154"/>
      <c r="I195" s="154"/>
      <c r="J195" s="154"/>
    </row>
    <row r="196" ht="15.75" customHeight="1">
      <c r="D196" s="128"/>
      <c r="G196" s="153"/>
      <c r="H196" s="154"/>
      <c r="I196" s="154"/>
      <c r="J196" s="154"/>
    </row>
    <row r="197" ht="15.75" customHeight="1">
      <c r="D197" s="128"/>
      <c r="G197" s="153"/>
      <c r="H197" s="154"/>
      <c r="I197" s="154"/>
      <c r="J197" s="154"/>
    </row>
    <row r="198" ht="15.75" customHeight="1">
      <c r="D198" s="128"/>
      <c r="G198" s="153"/>
      <c r="H198" s="154"/>
      <c r="I198" s="154"/>
      <c r="J198" s="154"/>
    </row>
    <row r="199" ht="15.75" customHeight="1">
      <c r="D199" s="128"/>
      <c r="G199" s="153"/>
      <c r="H199" s="154"/>
      <c r="I199" s="154"/>
      <c r="J199" s="154"/>
    </row>
    <row r="200" ht="15.75" customHeight="1">
      <c r="D200" s="128"/>
      <c r="G200" s="153"/>
      <c r="H200" s="154"/>
      <c r="I200" s="154"/>
      <c r="J200" s="154"/>
    </row>
    <row r="201" ht="15.75" customHeight="1">
      <c r="D201" s="128"/>
      <c r="G201" s="153"/>
      <c r="H201" s="154"/>
      <c r="I201" s="154"/>
      <c r="J201" s="154"/>
    </row>
    <row r="202" ht="15.75" customHeight="1">
      <c r="D202" s="128"/>
      <c r="G202" s="153"/>
      <c r="H202" s="154"/>
      <c r="I202" s="154"/>
      <c r="J202" s="154"/>
    </row>
    <row r="203" ht="15.75" customHeight="1">
      <c r="D203" s="128"/>
      <c r="G203" s="153"/>
      <c r="H203" s="154"/>
      <c r="I203" s="154"/>
      <c r="J203" s="154"/>
    </row>
    <row r="204" ht="15.75" customHeight="1">
      <c r="D204" s="128"/>
      <c r="G204" s="153"/>
      <c r="H204" s="154"/>
      <c r="I204" s="154"/>
      <c r="J204" s="154"/>
    </row>
    <row r="205" ht="15.75" customHeight="1">
      <c r="D205" s="128"/>
      <c r="G205" s="153"/>
      <c r="H205" s="154"/>
      <c r="I205" s="154"/>
      <c r="J205" s="154"/>
    </row>
    <row r="206" ht="15.75" customHeight="1">
      <c r="D206" s="128"/>
      <c r="G206" s="153"/>
      <c r="H206" s="154"/>
      <c r="I206" s="154"/>
      <c r="J206" s="154"/>
    </row>
    <row r="207" ht="15.75" customHeight="1">
      <c r="D207" s="128"/>
      <c r="G207" s="153"/>
      <c r="H207" s="154"/>
      <c r="I207" s="154"/>
      <c r="J207" s="154"/>
    </row>
    <row r="208" ht="15.75" customHeight="1">
      <c r="D208" s="128"/>
      <c r="G208" s="153"/>
      <c r="H208" s="154"/>
      <c r="I208" s="154"/>
      <c r="J208" s="154"/>
    </row>
    <row r="209" ht="15.75" customHeight="1">
      <c r="D209" s="128"/>
      <c r="G209" s="153"/>
      <c r="H209" s="154"/>
      <c r="I209" s="154"/>
      <c r="J209" s="154"/>
    </row>
    <row r="210" ht="15.75" customHeight="1">
      <c r="D210" s="128"/>
      <c r="G210" s="153"/>
      <c r="H210" s="154"/>
      <c r="I210" s="154"/>
      <c r="J210" s="154"/>
    </row>
    <row r="211" ht="15.75" customHeight="1">
      <c r="D211" s="128"/>
      <c r="G211" s="153"/>
      <c r="H211" s="154"/>
      <c r="I211" s="154"/>
      <c r="J211" s="154"/>
    </row>
    <row r="212" ht="15.75" customHeight="1">
      <c r="D212" s="128"/>
      <c r="G212" s="153"/>
      <c r="H212" s="154"/>
      <c r="I212" s="154"/>
      <c r="J212" s="154"/>
    </row>
    <row r="213" ht="15.75" customHeight="1">
      <c r="D213" s="128"/>
      <c r="G213" s="153"/>
      <c r="H213" s="154"/>
      <c r="I213" s="154"/>
      <c r="J213" s="154"/>
    </row>
    <row r="214" ht="15.75" customHeight="1">
      <c r="D214" s="128"/>
      <c r="G214" s="153"/>
      <c r="H214" s="154"/>
      <c r="I214" s="154"/>
      <c r="J214" s="154"/>
    </row>
    <row r="215" ht="15.75" customHeight="1">
      <c r="D215" s="128"/>
      <c r="G215" s="153"/>
      <c r="H215" s="154"/>
      <c r="I215" s="154"/>
      <c r="J215" s="154"/>
    </row>
    <row r="216" ht="15.75" customHeight="1">
      <c r="D216" s="128"/>
      <c r="G216" s="153"/>
      <c r="H216" s="154"/>
      <c r="I216" s="154"/>
      <c r="J216" s="154"/>
    </row>
    <row r="217" ht="15.75" customHeight="1">
      <c r="D217" s="128"/>
      <c r="G217" s="153"/>
      <c r="H217" s="154"/>
      <c r="I217" s="154"/>
      <c r="J217" s="154"/>
    </row>
    <row r="218" ht="15.75" customHeight="1">
      <c r="D218" s="128"/>
      <c r="G218" s="153"/>
      <c r="H218" s="154"/>
      <c r="I218" s="154"/>
      <c r="J218" s="154"/>
    </row>
    <row r="219" ht="15.75" customHeight="1">
      <c r="D219" s="128"/>
      <c r="G219" s="153"/>
      <c r="H219" s="154"/>
      <c r="I219" s="154"/>
      <c r="J219" s="154"/>
    </row>
    <row r="220" ht="15.75" customHeight="1">
      <c r="D220" s="128"/>
      <c r="G220" s="153"/>
      <c r="H220" s="154"/>
      <c r="I220" s="154"/>
      <c r="J220" s="154"/>
    </row>
    <row r="221" ht="15.75" customHeight="1">
      <c r="D221" s="128"/>
      <c r="G221" s="153"/>
      <c r="H221" s="154"/>
      <c r="I221" s="154"/>
      <c r="J221" s="154"/>
    </row>
    <row r="222" ht="15.75" customHeight="1">
      <c r="D222" s="128"/>
      <c r="G222" s="153"/>
      <c r="H222" s="154"/>
      <c r="I222" s="154"/>
      <c r="J222" s="154"/>
    </row>
    <row r="223" ht="15.75" customHeight="1">
      <c r="D223" s="128"/>
      <c r="G223" s="153"/>
      <c r="H223" s="154"/>
      <c r="I223" s="154"/>
      <c r="J223" s="154"/>
    </row>
    <row r="224" ht="15.75" customHeight="1">
      <c r="D224" s="128"/>
      <c r="G224" s="153"/>
      <c r="H224" s="154"/>
      <c r="I224" s="154"/>
      <c r="J224" s="154"/>
    </row>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K1"/>
    <mergeCell ref="A17:B17"/>
    <mergeCell ref="A18:B18"/>
  </mergeCells>
  <conditionalFormatting sqref="A19:A24">
    <cfRule type="beginsWith" dxfId="0" priority="1" operator="beginsWith" text="P">
      <formula>LEFT((A19),LEN("P"))=("P")</formula>
    </cfRule>
  </conditionalFormatting>
  <conditionalFormatting sqref="A19:A24">
    <cfRule type="containsText" dxfId="1" priority="2" operator="containsText" text="N-P">
      <formula>NOT(ISERROR(SEARCH(("N-P"),(A19))))</formula>
    </cfRule>
  </conditionalFormatting>
  <conditionalFormatting sqref="A19:A24">
    <cfRule type="containsText" dxfId="2" priority="3" operator="containsText" text="R">
      <formula>NOT(ISERROR(SEARCH(("R"),(A19))))</formula>
    </cfRule>
  </conditionalFormatting>
  <conditionalFormatting sqref="A19:A24">
    <cfRule type="containsText" dxfId="3" priority="4" operator="containsText" text="A-S">
      <formula>NOT(ISERROR(SEARCH(("A-S"),(A19))))</formula>
    </cfRule>
  </conditionalFormatting>
  <conditionalFormatting sqref="A19:A24">
    <cfRule type="beginsWith" dxfId="4" priority="5" operator="beginsWith" text="S">
      <formula>LEFT((A19),LEN("S"))=("S")</formula>
    </cfRule>
  </conditionalFormatting>
  <conditionalFormatting sqref="D3:D7">
    <cfRule type="beginsWith" dxfId="0" priority="6" operator="beginsWith" text="P">
      <formula>LEFT((D3),LEN("P"))=("P")</formula>
    </cfRule>
  </conditionalFormatting>
  <conditionalFormatting sqref="D3:D7">
    <cfRule type="containsText" dxfId="1" priority="7" operator="containsText" text="N-P">
      <formula>NOT(ISERROR(SEARCH(("N-P"),(D3))))</formula>
    </cfRule>
  </conditionalFormatting>
  <conditionalFormatting sqref="D3:D7">
    <cfRule type="containsText" dxfId="2" priority="8" operator="containsText" text="R">
      <formula>NOT(ISERROR(SEARCH(("R"),(D3))))</formula>
    </cfRule>
  </conditionalFormatting>
  <conditionalFormatting sqref="D3:D7">
    <cfRule type="containsText" dxfId="3" priority="9" operator="containsText" text="A-S">
      <formula>NOT(ISERROR(SEARCH(("A-S"),(D3))))</formula>
    </cfRule>
  </conditionalFormatting>
  <conditionalFormatting sqref="D3:D7">
    <cfRule type="beginsWith" dxfId="4" priority="10" operator="beginsWith" text="S">
      <formula>LEFT((D3),LEN("S"))=("S")</formula>
    </cfRule>
  </conditionalFormatting>
  <conditionalFormatting sqref="I5:I6">
    <cfRule type="cellIs" dxfId="5" priority="11" operator="lessThan">
      <formula>45698</formula>
    </cfRule>
  </conditionalFormatting>
  <dataValidations>
    <dataValidation type="list" allowBlank="1" showErrorMessage="1" sqref="D3:D7">
      <formula1>'17025 SAL'!$A$207:$A$212</formula1>
    </dataValidation>
  </dataValidations>
  <hyperlinks>
    <hyperlink r:id="rId4" ref="M4"/>
    <hyperlink r:id="rId5" ref="M6"/>
    <hyperlink r:id="rId6" ref="AI7"/>
  </hyperlinks>
  <printOptions/>
  <pageMargins bottom="0.75" footer="0.0" header="0.0" left="0.7" right="0.7" top="0.75"/>
  <pageSetup orientation="portrait"/>
  <drawing r:id="rId7"/>
  <legacyDrawing r:id="rId8"/>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43.71"/>
    <col customWidth="1" min="2" max="2" width="40.71"/>
    <col customWidth="1" min="3" max="3" width="14.0"/>
    <col customWidth="1" min="4" max="4" width="11.29"/>
    <col customWidth="1" min="5" max="5" width="12.71"/>
    <col customWidth="1" min="6" max="6" width="18.57"/>
    <col customWidth="1" min="7" max="7" width="20.43"/>
    <col customWidth="1" min="8" max="8" width="18.71"/>
    <col customWidth="1" min="9" max="9" width="18.86"/>
    <col customWidth="1" min="10" max="10" width="22.29"/>
    <col customWidth="1" min="11" max="11" width="21.57"/>
    <col customWidth="1" min="12" max="12" width="41.0"/>
    <col customWidth="1" min="13" max="13" width="31.0"/>
    <col customWidth="1" min="14" max="14" width="28.29"/>
    <col customWidth="1" min="15" max="15" width="19.43"/>
    <col customWidth="1" min="16" max="16" width="18.29"/>
    <col customWidth="1" min="17" max="17" width="15.14"/>
    <col customWidth="1" min="18" max="18" width="34.57"/>
    <col customWidth="1" min="19" max="19" width="20.14"/>
    <col customWidth="1" min="20" max="20" width="20.71"/>
    <col customWidth="1" min="21" max="21" width="19.43"/>
    <col customWidth="1" min="22" max="22" width="33.29"/>
    <col customWidth="1" min="23" max="23" width="20.57"/>
    <col customWidth="1" min="24" max="24" width="17.43"/>
    <col customWidth="1" min="25" max="25" width="18.57"/>
    <col customWidth="1" min="26" max="26" width="24.86"/>
    <col customWidth="1" min="27" max="27" width="41.0"/>
    <col customWidth="1" min="28" max="28" width="31.0"/>
    <col customWidth="1" min="29" max="29" width="27.29"/>
    <col customWidth="1" min="30" max="30" width="33.14"/>
    <col customWidth="1" min="31" max="31" width="17.43"/>
    <col customWidth="1" min="32" max="32" width="15.43"/>
    <col customWidth="1" min="33" max="33" width="43.86"/>
    <col customWidth="1" min="34" max="34" width="11.57"/>
    <col customWidth="1" min="35" max="35" width="19.71"/>
    <col customWidth="1" min="36" max="36" width="26.29"/>
    <col customWidth="1" min="37" max="37" width="24.14"/>
    <col customWidth="1" min="38" max="38" width="55.0"/>
  </cols>
  <sheetData>
    <row r="1" ht="50.25" customHeight="1">
      <c r="A1" s="130"/>
      <c r="B1" s="14" t="s">
        <v>4510</v>
      </c>
      <c r="C1" s="10"/>
      <c r="D1" s="10"/>
      <c r="E1" s="10"/>
      <c r="F1" s="10"/>
      <c r="G1" s="10"/>
      <c r="H1" s="10"/>
      <c r="I1" s="10"/>
      <c r="J1" s="10"/>
      <c r="K1" s="10"/>
      <c r="L1" s="155"/>
      <c r="M1" s="109"/>
      <c r="N1" s="109"/>
      <c r="O1" s="109"/>
      <c r="P1" s="109"/>
      <c r="Q1" s="109"/>
      <c r="R1" s="109"/>
      <c r="S1" s="109"/>
      <c r="T1" s="109"/>
      <c r="U1" s="109"/>
      <c r="V1" s="109"/>
      <c r="W1" s="109"/>
      <c r="X1" s="109"/>
      <c r="Y1" s="109"/>
      <c r="Z1" s="109"/>
      <c r="AA1" s="109"/>
      <c r="AB1" s="109"/>
      <c r="AC1" s="109"/>
      <c r="AD1" s="109"/>
      <c r="AE1" s="109"/>
      <c r="AF1" s="109"/>
      <c r="AG1" s="109"/>
      <c r="AH1" s="109"/>
      <c r="AI1" s="109"/>
      <c r="AJ1" s="109"/>
      <c r="AK1" s="109"/>
    </row>
    <row r="2" ht="51.0" customHeight="1">
      <c r="A2" s="18" t="s">
        <v>8</v>
      </c>
      <c r="B2" s="18" t="s">
        <v>9</v>
      </c>
      <c r="C2" s="135" t="s">
        <v>10</v>
      </c>
      <c r="D2" s="135" t="s">
        <v>11</v>
      </c>
      <c r="E2" s="135" t="s">
        <v>12</v>
      </c>
      <c r="F2" s="135" t="s">
        <v>13</v>
      </c>
      <c r="G2" s="135" t="s">
        <v>14</v>
      </c>
      <c r="H2" s="135" t="s">
        <v>15</v>
      </c>
      <c r="I2" s="135" t="s">
        <v>16</v>
      </c>
      <c r="J2" s="135" t="s">
        <v>17</v>
      </c>
      <c r="K2" s="18" t="s">
        <v>18</v>
      </c>
      <c r="L2" s="135" t="s">
        <v>3278</v>
      </c>
      <c r="M2" s="135" t="s">
        <v>20</v>
      </c>
      <c r="N2" s="135" t="s">
        <v>21</v>
      </c>
      <c r="O2" s="135" t="s">
        <v>22</v>
      </c>
      <c r="P2" s="135" t="s">
        <v>23</v>
      </c>
      <c r="Q2" s="135" t="s">
        <v>24</v>
      </c>
      <c r="R2" s="135" t="s">
        <v>25</v>
      </c>
      <c r="S2" s="135" t="s">
        <v>26</v>
      </c>
      <c r="T2" s="135" t="s">
        <v>27</v>
      </c>
      <c r="U2" s="135" t="s">
        <v>28</v>
      </c>
      <c r="V2" s="135" t="s">
        <v>3279</v>
      </c>
      <c r="W2" s="135" t="s">
        <v>30</v>
      </c>
      <c r="X2" s="135" t="s">
        <v>31</v>
      </c>
      <c r="Y2" s="135" t="s">
        <v>32</v>
      </c>
      <c r="Z2" s="135" t="s">
        <v>33</v>
      </c>
      <c r="AA2" s="135" t="s">
        <v>34</v>
      </c>
      <c r="AB2" s="135" t="s">
        <v>35</v>
      </c>
      <c r="AC2" s="135" t="s">
        <v>36</v>
      </c>
      <c r="AD2" s="135" t="s">
        <v>37</v>
      </c>
      <c r="AE2" s="135" t="s">
        <v>38</v>
      </c>
      <c r="AF2" s="135" t="s">
        <v>39</v>
      </c>
      <c r="AG2" s="135" t="s">
        <v>40</v>
      </c>
      <c r="AH2" s="135" t="s">
        <v>41</v>
      </c>
      <c r="AI2" s="135" t="s">
        <v>42</v>
      </c>
      <c r="AJ2" s="135" t="s">
        <v>3280</v>
      </c>
      <c r="AK2" s="135" t="s">
        <v>44</v>
      </c>
      <c r="AL2" s="145" t="s">
        <v>45</v>
      </c>
    </row>
    <row r="3" ht="60.0" customHeight="1">
      <c r="A3" s="20" t="s">
        <v>4511</v>
      </c>
      <c r="B3" s="20" t="s">
        <v>4464</v>
      </c>
      <c r="C3" s="20" t="s">
        <v>4512</v>
      </c>
      <c r="D3" s="21" t="s">
        <v>48</v>
      </c>
      <c r="E3" s="20" t="s">
        <v>49</v>
      </c>
      <c r="F3" s="20" t="s">
        <v>4513</v>
      </c>
      <c r="G3" s="20" t="s">
        <v>4514</v>
      </c>
      <c r="H3" s="22">
        <v>45174.0</v>
      </c>
      <c r="I3" s="22">
        <f>$H3+'17025 SAL'!$AN$1</f>
        <v>46634</v>
      </c>
      <c r="J3" s="22">
        <v>38551.0</v>
      </c>
      <c r="K3" s="20" t="s">
        <v>4515</v>
      </c>
      <c r="L3" s="20" t="s">
        <v>4516</v>
      </c>
      <c r="M3" s="52" t="s">
        <v>4517</v>
      </c>
      <c r="N3" s="52" t="s">
        <v>4518</v>
      </c>
      <c r="O3" s="20" t="s">
        <v>4519</v>
      </c>
      <c r="P3" s="20" t="s">
        <v>4459</v>
      </c>
      <c r="Q3" s="20" t="s">
        <v>55</v>
      </c>
      <c r="R3" s="20" t="s">
        <v>4520</v>
      </c>
      <c r="S3" s="20" t="s">
        <v>57</v>
      </c>
      <c r="T3" s="20" t="s">
        <v>4461</v>
      </c>
      <c r="U3" s="52" t="str">
        <f>HYPERLINK("http://www.inteco.or.cr/","www.inteco.or.cr")</f>
        <v>www.inteco.or.cr</v>
      </c>
      <c r="V3" s="20" t="s">
        <v>4471</v>
      </c>
      <c r="W3" s="20" t="s">
        <v>4472</v>
      </c>
      <c r="X3" s="20" t="s">
        <v>1899</v>
      </c>
      <c r="Y3" s="20" t="s">
        <v>63</v>
      </c>
      <c r="Z3" s="20" t="s">
        <v>4473</v>
      </c>
      <c r="AA3" s="20" t="s">
        <v>4474</v>
      </c>
      <c r="AB3" s="20"/>
      <c r="AC3" s="20" t="s">
        <v>4475</v>
      </c>
      <c r="AD3" s="20" t="s">
        <v>4476</v>
      </c>
      <c r="AE3" s="20" t="s">
        <v>4477</v>
      </c>
      <c r="AF3" s="20" t="s">
        <v>4478</v>
      </c>
      <c r="AG3" s="20" t="s">
        <v>4474</v>
      </c>
      <c r="AH3" s="20" t="s">
        <v>4459</v>
      </c>
      <c r="AI3" s="52" t="str">
        <f>HYPERLINK("mailto:lfmiranda@inteco.or.cr","lfmiranda@inteco.or.cr")</f>
        <v>lfmiranda@inteco.or.cr</v>
      </c>
      <c r="AJ3" s="20" t="s">
        <v>4479</v>
      </c>
      <c r="AK3" s="20" t="s">
        <v>4462</v>
      </c>
      <c r="AL3" s="20" t="s">
        <v>4521</v>
      </c>
    </row>
    <row r="4" ht="60.0" customHeight="1">
      <c r="A4" s="20" t="s">
        <v>4522</v>
      </c>
      <c r="B4" s="20"/>
      <c r="C4" s="20" t="s">
        <v>4512</v>
      </c>
      <c r="D4" s="21" t="s">
        <v>213</v>
      </c>
      <c r="E4" s="20" t="s">
        <v>49</v>
      </c>
      <c r="F4" s="20" t="s">
        <v>4514</v>
      </c>
      <c r="G4" s="20" t="s">
        <v>4523</v>
      </c>
      <c r="H4" s="22"/>
      <c r="I4" s="22"/>
      <c r="J4" s="22">
        <v>40858.0</v>
      </c>
      <c r="K4" s="20" t="s">
        <v>4524</v>
      </c>
      <c r="L4" s="20" t="s">
        <v>4525</v>
      </c>
      <c r="M4" s="52" t="str">
        <f>HYPERLINK("mailto:fa1830@yahoo.com","fa1830@yahoo.com")</f>
        <v>fa1830@yahoo.com</v>
      </c>
      <c r="N4" s="20" t="s">
        <v>4526</v>
      </c>
      <c r="O4" s="20" t="s">
        <v>4527</v>
      </c>
      <c r="P4" s="20" t="s">
        <v>4528</v>
      </c>
      <c r="Q4" s="20" t="s">
        <v>55</v>
      </c>
      <c r="R4" s="20" t="s">
        <v>4529</v>
      </c>
      <c r="S4" s="20" t="s">
        <v>57</v>
      </c>
      <c r="T4" s="20" t="s">
        <v>4530</v>
      </c>
      <c r="U4" s="52" t="str">
        <f>HYPERLINK("http://www.cicquality.com/","www.cicquality.com")</f>
        <v>www.cicquality.com</v>
      </c>
      <c r="V4" s="20" t="s">
        <v>4531</v>
      </c>
      <c r="W4" s="20">
        <v>1.03330185E8</v>
      </c>
      <c r="X4" s="20" t="s">
        <v>2398</v>
      </c>
      <c r="Y4" s="20" t="s">
        <v>63</v>
      </c>
      <c r="Z4" s="20" t="s">
        <v>4532</v>
      </c>
      <c r="AA4" s="20" t="s">
        <v>4533</v>
      </c>
      <c r="AB4" s="20"/>
      <c r="AC4" s="20" t="s">
        <v>67</v>
      </c>
      <c r="AD4" s="20" t="s">
        <v>4534</v>
      </c>
      <c r="AE4" s="20" t="s">
        <v>4534</v>
      </c>
      <c r="AF4" s="20" t="s">
        <v>4535</v>
      </c>
      <c r="AG4" s="20" t="s">
        <v>4533</v>
      </c>
      <c r="AH4" s="20" t="s">
        <v>4528</v>
      </c>
      <c r="AI4" s="52" t="str">
        <f>HYPERLINK("mailto:hypharma@racsa.co.cr","hypharma@racsa.co.cr")</f>
        <v>hypharma@racsa.co.cr</v>
      </c>
      <c r="AJ4" s="20" t="s">
        <v>2586</v>
      </c>
      <c r="AK4" s="20" t="s">
        <v>4522</v>
      </c>
      <c r="AL4" s="20" t="s">
        <v>4536</v>
      </c>
    </row>
    <row r="5" ht="60.0" customHeight="1">
      <c r="A5" s="20" t="s">
        <v>3740</v>
      </c>
      <c r="B5" s="20"/>
      <c r="C5" s="20" t="s">
        <v>4512</v>
      </c>
      <c r="D5" s="21" t="s">
        <v>213</v>
      </c>
      <c r="E5" s="20" t="s">
        <v>49</v>
      </c>
      <c r="F5" s="20" t="s">
        <v>4523</v>
      </c>
      <c r="G5" s="20" t="s">
        <v>4537</v>
      </c>
      <c r="H5" s="22"/>
      <c r="I5" s="22"/>
      <c r="J5" s="22">
        <v>41079.0</v>
      </c>
      <c r="K5" s="20" t="s">
        <v>730</v>
      </c>
      <c r="L5" s="20" t="s">
        <v>1462</v>
      </c>
      <c r="M5" s="20" t="s">
        <v>1463</v>
      </c>
      <c r="N5" s="20" t="s">
        <v>1464</v>
      </c>
      <c r="O5" s="20" t="s">
        <v>1465</v>
      </c>
      <c r="P5" s="20" t="s">
        <v>1466</v>
      </c>
      <c r="Q5" s="20" t="s">
        <v>1135</v>
      </c>
      <c r="R5" s="20" t="s">
        <v>1467</v>
      </c>
      <c r="S5" s="20" t="s">
        <v>1137</v>
      </c>
      <c r="T5" s="20" t="s">
        <v>1468</v>
      </c>
      <c r="U5" s="52" t="str">
        <f>HYPERLINK("http://www.codocafe.gov.do/","www.codocafe.gov.do")</f>
        <v>www.codocafe.gov.do</v>
      </c>
      <c r="V5" s="20" t="s">
        <v>3745</v>
      </c>
      <c r="W5" s="20" t="s">
        <v>1470</v>
      </c>
      <c r="X5" s="20" t="s">
        <v>346</v>
      </c>
      <c r="Y5" s="20" t="s">
        <v>1140</v>
      </c>
      <c r="Z5" s="20" t="s">
        <v>1472</v>
      </c>
      <c r="AA5" s="20" t="s">
        <v>1473</v>
      </c>
      <c r="AB5" s="20"/>
      <c r="AC5" s="20" t="s">
        <v>1142</v>
      </c>
      <c r="AD5" s="20" t="s">
        <v>1474</v>
      </c>
      <c r="AE5" s="20" t="s">
        <v>1475</v>
      </c>
      <c r="AF5" s="20" t="s">
        <v>1465</v>
      </c>
      <c r="AG5" s="20" t="s">
        <v>4538</v>
      </c>
      <c r="AH5" s="20" t="s">
        <v>1466</v>
      </c>
      <c r="AI5" s="52" t="str">
        <f>HYPERLINK("mailto:info@codocafe.gob.do","info@codocafe.gob.do")</f>
        <v>info@codocafe.gob.do</v>
      </c>
      <c r="AJ5" s="20" t="s">
        <v>1477</v>
      </c>
      <c r="AK5" s="20" t="s">
        <v>1478</v>
      </c>
      <c r="AL5" s="20" t="s">
        <v>4480</v>
      </c>
    </row>
    <row r="6" ht="60.0" customHeight="1">
      <c r="A6" s="20" t="s">
        <v>4539</v>
      </c>
      <c r="B6" s="20"/>
      <c r="C6" s="20" t="s">
        <v>4512</v>
      </c>
      <c r="D6" s="21" t="s">
        <v>2027</v>
      </c>
      <c r="E6" s="20" t="s">
        <v>49</v>
      </c>
      <c r="F6" s="20" t="s">
        <v>4537</v>
      </c>
      <c r="G6" s="20"/>
      <c r="H6" s="22"/>
      <c r="I6" s="22"/>
      <c r="J6" s="22"/>
      <c r="K6" s="20" t="s">
        <v>730</v>
      </c>
      <c r="L6" s="20" t="s">
        <v>4540</v>
      </c>
      <c r="M6" s="52" t="str">
        <f>HYPERLINK("mailto:pdescamps@eco-logica.com","pdescamps@eco-logica.com")</f>
        <v>pdescamps@eco-logica.com</v>
      </c>
      <c r="N6" s="20"/>
      <c r="O6" s="20" t="s">
        <v>4541</v>
      </c>
      <c r="P6" s="20">
        <v>2.2351638E7</v>
      </c>
      <c r="Q6" s="20" t="s">
        <v>55</v>
      </c>
      <c r="R6" s="20" t="s">
        <v>4542</v>
      </c>
      <c r="S6" s="20" t="s">
        <v>57</v>
      </c>
      <c r="T6" s="20" t="s">
        <v>4543</v>
      </c>
      <c r="U6" s="52" t="str">
        <f>HYPERLINK("http://www.eco-logica.com/","www.eco-logica.com ")</f>
        <v>www.eco-logica.com </v>
      </c>
      <c r="V6" s="20" t="s">
        <v>4544</v>
      </c>
      <c r="W6" s="20">
        <v>1.05520411E8</v>
      </c>
      <c r="X6" s="20" t="s">
        <v>84</v>
      </c>
      <c r="Y6" s="20" t="s">
        <v>63</v>
      </c>
      <c r="Z6" s="20" t="s">
        <v>4545</v>
      </c>
      <c r="AA6" s="20" t="s">
        <v>4546</v>
      </c>
      <c r="AB6" s="20"/>
      <c r="AC6" s="20" t="s">
        <v>4547</v>
      </c>
      <c r="AD6" s="20" t="s">
        <v>4548</v>
      </c>
      <c r="AE6" s="20" t="s">
        <v>4549</v>
      </c>
      <c r="AF6" s="20" t="s">
        <v>4550</v>
      </c>
      <c r="AG6" s="20" t="s">
        <v>4546</v>
      </c>
      <c r="AH6" s="20">
        <v>2.2351638E7</v>
      </c>
      <c r="AI6" s="52" t="str">
        <f>HYPERLINK("mailto:yzamora@eco-logica.com","yzamora@eco-logica.com")</f>
        <v>yzamora@eco-logica.com</v>
      </c>
      <c r="AJ6" s="20" t="s">
        <v>4551</v>
      </c>
      <c r="AK6" s="20" t="s">
        <v>4539</v>
      </c>
      <c r="AL6" s="20"/>
    </row>
    <row r="7" ht="60.0" customHeight="1">
      <c r="A7" s="20" t="s">
        <v>4539</v>
      </c>
      <c r="B7" s="20" t="s">
        <v>4552</v>
      </c>
      <c r="C7" s="20" t="s">
        <v>4512</v>
      </c>
      <c r="D7" s="21" t="s">
        <v>48</v>
      </c>
      <c r="E7" s="20" t="s">
        <v>49</v>
      </c>
      <c r="F7" s="20" t="s">
        <v>4553</v>
      </c>
      <c r="G7" s="20" t="s">
        <v>4554</v>
      </c>
      <c r="H7" s="22">
        <v>45788.0</v>
      </c>
      <c r="I7" s="22" t="s">
        <v>76</v>
      </c>
      <c r="J7" s="22">
        <v>42409.0</v>
      </c>
      <c r="K7" s="20"/>
      <c r="L7" s="20" t="s">
        <v>4555</v>
      </c>
      <c r="M7" s="52" t="s">
        <v>4556</v>
      </c>
      <c r="N7" s="20" t="s">
        <v>4557</v>
      </c>
      <c r="O7" s="20" t="s">
        <v>4558</v>
      </c>
      <c r="P7" s="20">
        <v>2.2351638E7</v>
      </c>
      <c r="Q7" s="20" t="s">
        <v>55</v>
      </c>
      <c r="R7" s="20" t="s">
        <v>4559</v>
      </c>
      <c r="S7" s="20" t="s">
        <v>2302</v>
      </c>
      <c r="T7" s="20" t="s">
        <v>4543</v>
      </c>
      <c r="U7" s="52" t="str">
        <f>HYPERLINK("http://www.eco-logica.com/","www.eco-logica.com")</f>
        <v>www.eco-logica.com</v>
      </c>
      <c r="V7" s="20" t="s">
        <v>4544</v>
      </c>
      <c r="W7" s="20" t="s">
        <v>4560</v>
      </c>
      <c r="X7" s="20" t="s">
        <v>84</v>
      </c>
      <c r="Y7" s="20" t="s">
        <v>63</v>
      </c>
      <c r="Z7" s="20" t="s">
        <v>4561</v>
      </c>
      <c r="AA7" s="20" t="s">
        <v>4562</v>
      </c>
      <c r="AB7" s="20"/>
      <c r="AC7" s="20" t="s">
        <v>285</v>
      </c>
      <c r="AD7" s="20"/>
      <c r="AE7" s="20" t="s">
        <v>4539</v>
      </c>
      <c r="AF7" s="20" t="s">
        <v>4563</v>
      </c>
      <c r="AG7" s="20" t="s">
        <v>4562</v>
      </c>
      <c r="AH7" s="20" t="s">
        <v>4564</v>
      </c>
      <c r="AI7" s="20"/>
      <c r="AJ7" s="20"/>
      <c r="AK7" s="20"/>
      <c r="AL7" s="20"/>
    </row>
    <row r="8" ht="60.0" customHeight="1">
      <c r="A8" s="20" t="s">
        <v>4565</v>
      </c>
      <c r="B8" s="20" t="s">
        <v>4566</v>
      </c>
      <c r="C8" s="20" t="s">
        <v>4512</v>
      </c>
      <c r="D8" s="21" t="s">
        <v>213</v>
      </c>
      <c r="E8" s="20" t="s">
        <v>49</v>
      </c>
      <c r="F8" s="20" t="s">
        <v>4567</v>
      </c>
      <c r="G8" s="20" t="s">
        <v>4568</v>
      </c>
      <c r="H8" s="22">
        <v>43557.0</v>
      </c>
      <c r="I8" s="22"/>
      <c r="J8" s="22">
        <v>42902.0</v>
      </c>
      <c r="K8" s="20"/>
      <c r="L8" s="20" t="s">
        <v>4569</v>
      </c>
      <c r="M8" s="52" t="s">
        <v>4570</v>
      </c>
      <c r="N8" s="52" t="s">
        <v>4571</v>
      </c>
      <c r="O8" s="20" t="s">
        <v>4572</v>
      </c>
      <c r="P8" s="20" t="s">
        <v>324</v>
      </c>
      <c r="Q8" s="20" t="s">
        <v>55</v>
      </c>
      <c r="R8" s="20" t="s">
        <v>4573</v>
      </c>
      <c r="S8" s="20" t="s">
        <v>55</v>
      </c>
      <c r="T8" s="20" t="s">
        <v>4574</v>
      </c>
      <c r="U8" s="20" t="s">
        <v>4575</v>
      </c>
      <c r="V8" s="20" t="s">
        <v>4569</v>
      </c>
      <c r="W8" s="20">
        <v>7.01030313E8</v>
      </c>
      <c r="X8" s="20" t="s">
        <v>304</v>
      </c>
      <c r="Y8" s="20" t="s">
        <v>63</v>
      </c>
      <c r="Z8" s="20" t="s">
        <v>4576</v>
      </c>
      <c r="AA8" s="20" t="s">
        <v>4573</v>
      </c>
      <c r="AB8" s="20"/>
      <c r="AC8" s="20" t="s">
        <v>285</v>
      </c>
      <c r="AD8" s="20" t="s">
        <v>4577</v>
      </c>
      <c r="AE8" s="20" t="s">
        <v>4578</v>
      </c>
      <c r="AF8" s="20" t="s">
        <v>4579</v>
      </c>
      <c r="AG8" s="20" t="s">
        <v>4573</v>
      </c>
      <c r="AH8" s="20"/>
      <c r="AI8" s="20" t="s">
        <v>4580</v>
      </c>
      <c r="AJ8" s="20" t="s">
        <v>4581</v>
      </c>
      <c r="AK8" s="20" t="s">
        <v>4565</v>
      </c>
      <c r="AL8" s="20" t="s">
        <v>4582</v>
      </c>
    </row>
    <row r="9" ht="60.0" customHeight="1">
      <c r="A9" s="20" t="s">
        <v>4583</v>
      </c>
      <c r="B9" s="20"/>
      <c r="C9" s="20" t="s">
        <v>4512</v>
      </c>
      <c r="D9" s="21" t="s">
        <v>48</v>
      </c>
      <c r="E9" s="20" t="s">
        <v>2063</v>
      </c>
      <c r="F9" s="20" t="s">
        <v>4584</v>
      </c>
      <c r="G9" s="20" t="s">
        <v>4585</v>
      </c>
      <c r="H9" s="22">
        <v>45869.0</v>
      </c>
      <c r="I9" s="22" t="s">
        <v>76</v>
      </c>
      <c r="J9" s="22">
        <v>43270.0</v>
      </c>
      <c r="K9" s="20"/>
      <c r="L9" s="20" t="s">
        <v>4586</v>
      </c>
      <c r="M9" s="52" t="s">
        <v>4587</v>
      </c>
      <c r="N9" s="20" t="s">
        <v>4588</v>
      </c>
      <c r="O9" s="20" t="s">
        <v>4589</v>
      </c>
      <c r="P9" s="20" t="s">
        <v>324</v>
      </c>
      <c r="Q9" s="20" t="s">
        <v>55</v>
      </c>
      <c r="R9" s="20" t="s">
        <v>4590</v>
      </c>
      <c r="S9" s="20" t="s">
        <v>55</v>
      </c>
      <c r="T9" s="20" t="s">
        <v>4591</v>
      </c>
      <c r="U9" s="52" t="s">
        <v>4592</v>
      </c>
      <c r="V9" s="20" t="s">
        <v>4593</v>
      </c>
      <c r="W9" s="20" t="s">
        <v>4594</v>
      </c>
      <c r="X9" s="20" t="s">
        <v>84</v>
      </c>
      <c r="Y9" s="20" t="s">
        <v>63</v>
      </c>
      <c r="Z9" s="20" t="s">
        <v>4595</v>
      </c>
      <c r="AA9" s="20" t="s">
        <v>4590</v>
      </c>
      <c r="AB9" s="20"/>
      <c r="AC9" s="20" t="s">
        <v>4596</v>
      </c>
      <c r="AD9" s="20"/>
      <c r="AE9" s="20" t="s">
        <v>4597</v>
      </c>
      <c r="AF9" s="20" t="s">
        <v>4598</v>
      </c>
      <c r="AG9" s="20" t="s">
        <v>4590</v>
      </c>
      <c r="AH9" s="20" t="s">
        <v>324</v>
      </c>
      <c r="AI9" s="20"/>
      <c r="AJ9" s="20"/>
      <c r="AK9" s="20" t="s">
        <v>4599</v>
      </c>
      <c r="AL9" s="20"/>
    </row>
    <row r="10" ht="60.0" customHeight="1">
      <c r="A10" s="20" t="s">
        <v>4600</v>
      </c>
      <c r="B10" s="20" t="s">
        <v>4601</v>
      </c>
      <c r="C10" s="20" t="s">
        <v>4512</v>
      </c>
      <c r="D10" s="21" t="s">
        <v>48</v>
      </c>
      <c r="E10" s="20" t="s">
        <v>2063</v>
      </c>
      <c r="F10" s="20" t="s">
        <v>4554</v>
      </c>
      <c r="G10" s="20" t="s">
        <v>4602</v>
      </c>
      <c r="H10" s="23">
        <v>45414.0</v>
      </c>
      <c r="I10" s="22">
        <f>$H10+'17025 SAL'!$AN$1</f>
        <v>46874</v>
      </c>
      <c r="J10" s="22">
        <v>43475.0</v>
      </c>
      <c r="K10" s="20" t="s">
        <v>4603</v>
      </c>
      <c r="L10" s="20" t="s">
        <v>4604</v>
      </c>
      <c r="M10" s="52" t="s">
        <v>4605</v>
      </c>
      <c r="N10" s="20" t="s">
        <v>4606</v>
      </c>
      <c r="O10" s="20" t="s">
        <v>2281</v>
      </c>
      <c r="P10" s="20" t="s">
        <v>324</v>
      </c>
      <c r="Q10" s="20" t="s">
        <v>2283</v>
      </c>
      <c r="R10" s="20" t="s">
        <v>2284</v>
      </c>
      <c r="S10" s="20" t="s">
        <v>4607</v>
      </c>
      <c r="T10" s="20" t="s">
        <v>2286</v>
      </c>
      <c r="U10" s="52" t="s">
        <v>2287</v>
      </c>
      <c r="V10" s="20" t="s">
        <v>4608</v>
      </c>
      <c r="W10" s="20" t="s">
        <v>4609</v>
      </c>
      <c r="X10" s="20"/>
      <c r="Y10" s="20" t="s">
        <v>4183</v>
      </c>
      <c r="Z10" s="20" t="s">
        <v>2290</v>
      </c>
      <c r="AA10" s="20" t="s">
        <v>2284</v>
      </c>
      <c r="AB10" s="20"/>
      <c r="AC10" s="20" t="s">
        <v>2291</v>
      </c>
      <c r="AD10" s="20"/>
      <c r="AE10" s="20" t="s">
        <v>2292</v>
      </c>
      <c r="AF10" s="20" t="s">
        <v>4610</v>
      </c>
      <c r="AG10" s="20" t="s">
        <v>2284</v>
      </c>
      <c r="AH10" s="20" t="s">
        <v>2282</v>
      </c>
      <c r="AI10" s="20"/>
      <c r="AJ10" s="20"/>
      <c r="AK10" s="20" t="s">
        <v>2292</v>
      </c>
      <c r="AL10" s="20"/>
    </row>
    <row r="11" ht="60.0" customHeight="1">
      <c r="A11" s="20" t="s">
        <v>4611</v>
      </c>
      <c r="B11" s="20" t="s">
        <v>4612</v>
      </c>
      <c r="C11" s="20" t="s">
        <v>4512</v>
      </c>
      <c r="D11" s="21" t="s">
        <v>48</v>
      </c>
      <c r="E11" s="20" t="s">
        <v>2063</v>
      </c>
      <c r="F11" s="20" t="s">
        <v>4568</v>
      </c>
      <c r="G11" s="20" t="s">
        <v>4613</v>
      </c>
      <c r="H11" s="22">
        <v>45358.0</v>
      </c>
      <c r="I11" s="22">
        <f>$H11+'17025 SAL'!$AN$1</f>
        <v>46818</v>
      </c>
      <c r="J11" s="22">
        <v>43746.0</v>
      </c>
      <c r="K11" s="20" t="s">
        <v>4614</v>
      </c>
      <c r="L11" s="20" t="s">
        <v>4615</v>
      </c>
      <c r="M11" s="52" t="s">
        <v>4616</v>
      </c>
      <c r="N11" s="20" t="s">
        <v>4617</v>
      </c>
      <c r="O11" s="20" t="s">
        <v>4618</v>
      </c>
      <c r="P11" s="20" t="s">
        <v>324</v>
      </c>
      <c r="Q11" s="20" t="s">
        <v>2283</v>
      </c>
      <c r="R11" s="20" t="s">
        <v>4619</v>
      </c>
      <c r="S11" s="20" t="s">
        <v>4620</v>
      </c>
      <c r="T11" s="20" t="s">
        <v>4621</v>
      </c>
      <c r="U11" s="20" t="s">
        <v>4622</v>
      </c>
      <c r="V11" s="20" t="s">
        <v>4623</v>
      </c>
      <c r="W11" s="20">
        <v>1.1583435E7</v>
      </c>
      <c r="X11" s="20" t="s">
        <v>62</v>
      </c>
      <c r="Y11" s="20" t="s">
        <v>4183</v>
      </c>
      <c r="Z11" s="20" t="s">
        <v>4624</v>
      </c>
      <c r="AA11" s="20" t="s">
        <v>4625</v>
      </c>
      <c r="AB11" s="20"/>
      <c r="AC11" s="20" t="s">
        <v>4626</v>
      </c>
      <c r="AD11" s="20" t="s">
        <v>2506</v>
      </c>
      <c r="AE11" s="20" t="s">
        <v>4627</v>
      </c>
      <c r="AF11" s="20" t="s">
        <v>4628</v>
      </c>
      <c r="AG11" s="20" t="s">
        <v>4625</v>
      </c>
      <c r="AH11" s="20" t="s">
        <v>324</v>
      </c>
      <c r="AI11" s="52" t="s">
        <v>4629</v>
      </c>
      <c r="AJ11" s="20" t="s">
        <v>4630</v>
      </c>
      <c r="AK11" s="20" t="s">
        <v>4631</v>
      </c>
      <c r="AL11" s="20"/>
    </row>
    <row r="12" ht="60.0" customHeight="1">
      <c r="A12" s="20" t="s">
        <v>4632</v>
      </c>
      <c r="B12" s="20" t="s">
        <v>324</v>
      </c>
      <c r="C12" s="20" t="s">
        <v>4512</v>
      </c>
      <c r="D12" s="21" t="s">
        <v>48</v>
      </c>
      <c r="E12" s="20" t="s">
        <v>2063</v>
      </c>
      <c r="F12" s="20" t="s">
        <v>4585</v>
      </c>
      <c r="G12" s="20" t="s">
        <v>4633</v>
      </c>
      <c r="H12" s="22">
        <v>45190.0</v>
      </c>
      <c r="I12" s="22">
        <f>$H12+'17025 SAL'!$AN$1</f>
        <v>46650</v>
      </c>
      <c r="J12" s="22">
        <v>44005.0</v>
      </c>
      <c r="K12" s="20" t="s">
        <v>4634</v>
      </c>
      <c r="L12" s="20" t="s">
        <v>4635</v>
      </c>
      <c r="M12" s="52" t="s">
        <v>4636</v>
      </c>
      <c r="N12" s="52" t="s">
        <v>4637</v>
      </c>
      <c r="O12" s="20" t="s">
        <v>4638</v>
      </c>
      <c r="P12" s="20" t="s">
        <v>324</v>
      </c>
      <c r="Q12" s="20" t="s">
        <v>55</v>
      </c>
      <c r="R12" s="20" t="s">
        <v>4639</v>
      </c>
      <c r="S12" s="20" t="s">
        <v>55</v>
      </c>
      <c r="T12" s="20" t="s">
        <v>4640</v>
      </c>
      <c r="U12" s="52" t="s">
        <v>4641</v>
      </c>
      <c r="V12" s="20" t="s">
        <v>4635</v>
      </c>
      <c r="W12" s="20" t="s">
        <v>4642</v>
      </c>
      <c r="X12" s="20" t="s">
        <v>62</v>
      </c>
      <c r="Y12" s="20" t="s">
        <v>63</v>
      </c>
      <c r="Z12" s="20" t="s">
        <v>4643</v>
      </c>
      <c r="AA12" s="20" t="s">
        <v>4644</v>
      </c>
      <c r="AB12" s="20"/>
      <c r="AC12" s="20" t="s">
        <v>1055</v>
      </c>
      <c r="AD12" s="20" t="s">
        <v>4645</v>
      </c>
      <c r="AE12" s="20" t="s">
        <v>4646</v>
      </c>
      <c r="AF12" s="20" t="s">
        <v>4647</v>
      </c>
      <c r="AG12" s="20" t="s">
        <v>4644</v>
      </c>
      <c r="AH12" s="20" t="s">
        <v>324</v>
      </c>
      <c r="AI12" s="20" t="s">
        <v>4648</v>
      </c>
      <c r="AJ12" s="20" t="s">
        <v>4649</v>
      </c>
      <c r="AK12" s="20" t="s">
        <v>4632</v>
      </c>
      <c r="AL12" s="20"/>
    </row>
    <row r="13" ht="60.0" customHeight="1">
      <c r="A13" s="20" t="s">
        <v>4650</v>
      </c>
      <c r="B13" s="20"/>
      <c r="C13" s="20" t="s">
        <v>4512</v>
      </c>
      <c r="D13" s="21" t="s">
        <v>213</v>
      </c>
      <c r="E13" s="20" t="s">
        <v>2063</v>
      </c>
      <c r="F13" s="20" t="s">
        <v>4602</v>
      </c>
      <c r="G13" s="20" t="s">
        <v>4651</v>
      </c>
      <c r="H13" s="22">
        <v>43880.0</v>
      </c>
      <c r="I13" s="22"/>
      <c r="J13" s="22">
        <v>45132.0</v>
      </c>
      <c r="K13" s="20"/>
      <c r="L13" s="20" t="s">
        <v>4652</v>
      </c>
      <c r="M13" s="27" t="s">
        <v>4653</v>
      </c>
      <c r="N13" s="52" t="s">
        <v>4654</v>
      </c>
      <c r="O13" s="20" t="s">
        <v>4655</v>
      </c>
      <c r="P13" s="20" t="s">
        <v>324</v>
      </c>
      <c r="Q13" s="20" t="s">
        <v>4656</v>
      </c>
      <c r="R13" s="20" t="s">
        <v>4657</v>
      </c>
      <c r="S13" s="20" t="s">
        <v>4656</v>
      </c>
      <c r="T13" s="20">
        <v>2.0521561492E10</v>
      </c>
      <c r="U13" s="52" t="s">
        <v>4658</v>
      </c>
      <c r="V13" s="20" t="s">
        <v>4659</v>
      </c>
      <c r="W13" s="20" t="s">
        <v>4660</v>
      </c>
      <c r="X13" s="20" t="s">
        <v>62</v>
      </c>
      <c r="Y13" s="20" t="s">
        <v>4661</v>
      </c>
      <c r="Z13" s="20" t="s">
        <v>2900</v>
      </c>
      <c r="AA13" s="20" t="s">
        <v>4662</v>
      </c>
      <c r="AB13" s="20"/>
      <c r="AC13" s="20" t="s">
        <v>67</v>
      </c>
      <c r="AD13" s="20" t="s">
        <v>4663</v>
      </c>
      <c r="AE13" s="20" t="s">
        <v>4664</v>
      </c>
      <c r="AF13" s="20" t="s">
        <v>4665</v>
      </c>
      <c r="AG13" s="20" t="s">
        <v>4666</v>
      </c>
      <c r="AH13" s="20" t="s">
        <v>324</v>
      </c>
      <c r="AI13" s="52" t="s">
        <v>4667</v>
      </c>
      <c r="AJ13" s="20" t="s">
        <v>4668</v>
      </c>
      <c r="AK13" s="20" t="s">
        <v>4669</v>
      </c>
      <c r="AL13" s="20"/>
    </row>
    <row r="14" ht="60.0" customHeight="1">
      <c r="A14" s="20" t="s">
        <v>4670</v>
      </c>
      <c r="B14" s="20" t="s">
        <v>4670</v>
      </c>
      <c r="C14" s="20" t="s">
        <v>4512</v>
      </c>
      <c r="D14" s="21" t="s">
        <v>213</v>
      </c>
      <c r="E14" s="20" t="s">
        <v>49</v>
      </c>
      <c r="F14" s="20" t="s">
        <v>4613</v>
      </c>
      <c r="G14" s="20" t="s">
        <v>4671</v>
      </c>
      <c r="H14" s="22">
        <v>44120.0</v>
      </c>
      <c r="I14" s="22"/>
      <c r="J14" s="22">
        <v>45002.0</v>
      </c>
      <c r="K14" s="20"/>
      <c r="L14" s="20" t="s">
        <v>4672</v>
      </c>
      <c r="M14" s="52" t="s">
        <v>4673</v>
      </c>
      <c r="N14" s="38" t="s">
        <v>4674</v>
      </c>
      <c r="O14" s="20" t="s">
        <v>4675</v>
      </c>
      <c r="P14" s="20" t="s">
        <v>324</v>
      </c>
      <c r="Q14" s="20" t="s">
        <v>55</v>
      </c>
      <c r="R14" s="20" t="s">
        <v>4676</v>
      </c>
      <c r="S14" s="20" t="s">
        <v>121</v>
      </c>
      <c r="T14" s="20" t="s">
        <v>4677</v>
      </c>
      <c r="U14" s="52" t="s">
        <v>4678</v>
      </c>
      <c r="V14" s="20" t="s">
        <v>4672</v>
      </c>
      <c r="W14" s="20" t="s">
        <v>4679</v>
      </c>
      <c r="X14" s="20" t="s">
        <v>62</v>
      </c>
      <c r="Y14" s="20" t="s">
        <v>63</v>
      </c>
      <c r="Z14" s="20" t="s">
        <v>459</v>
      </c>
      <c r="AA14" s="20" t="s">
        <v>4676</v>
      </c>
      <c r="AB14" s="20"/>
      <c r="AC14" s="20" t="s">
        <v>4680</v>
      </c>
      <c r="AD14" s="20" t="s">
        <v>1143</v>
      </c>
      <c r="AE14" s="20" t="s">
        <v>4681</v>
      </c>
      <c r="AF14" s="20" t="s">
        <v>4675</v>
      </c>
      <c r="AG14" s="20" t="s">
        <v>4676</v>
      </c>
      <c r="AH14" s="20" t="s">
        <v>324</v>
      </c>
      <c r="AI14" s="20" t="s">
        <v>4682</v>
      </c>
      <c r="AJ14" s="20" t="s">
        <v>4683</v>
      </c>
      <c r="AK14" s="20" t="s">
        <v>4684</v>
      </c>
      <c r="AL14" s="20"/>
    </row>
    <row r="15" ht="60.0" customHeight="1">
      <c r="A15" s="20" t="s">
        <v>4685</v>
      </c>
      <c r="B15" s="20" t="s">
        <v>4685</v>
      </c>
      <c r="C15" s="20" t="s">
        <v>4512</v>
      </c>
      <c r="D15" s="21" t="s">
        <v>48</v>
      </c>
      <c r="E15" s="20" t="s">
        <v>49</v>
      </c>
      <c r="F15" s="20" t="s">
        <v>4633</v>
      </c>
      <c r="G15" s="20" t="s">
        <v>4686</v>
      </c>
      <c r="H15" s="22">
        <v>44267.0</v>
      </c>
      <c r="I15" s="22">
        <f>$H15+'17025 SAL'!$AN$1</f>
        <v>45727</v>
      </c>
      <c r="J15" s="22">
        <v>44425.0</v>
      </c>
      <c r="K15" s="20" t="s">
        <v>324</v>
      </c>
      <c r="L15" s="20" t="s">
        <v>4687</v>
      </c>
      <c r="M15" s="38" t="s">
        <v>4688</v>
      </c>
      <c r="N15" s="20"/>
      <c r="O15" s="156">
        <v>8.3384509E7</v>
      </c>
      <c r="P15" s="20"/>
      <c r="Q15" s="20" t="s">
        <v>55</v>
      </c>
      <c r="R15" s="20" t="s">
        <v>4689</v>
      </c>
      <c r="S15" s="20" t="s">
        <v>57</v>
      </c>
      <c r="T15" s="20" t="s">
        <v>4690</v>
      </c>
      <c r="U15" s="20" t="s">
        <v>324</v>
      </c>
      <c r="V15" s="20" t="s">
        <v>4691</v>
      </c>
      <c r="W15" s="20" t="s">
        <v>4692</v>
      </c>
      <c r="X15" s="20" t="s">
        <v>4693</v>
      </c>
      <c r="Y15" s="20" t="s">
        <v>4694</v>
      </c>
      <c r="Z15" s="20" t="s">
        <v>4695</v>
      </c>
      <c r="AA15" s="20" t="s">
        <v>4689</v>
      </c>
      <c r="AB15" s="20"/>
      <c r="AC15" s="20" t="s">
        <v>4696</v>
      </c>
      <c r="AD15" s="20" t="s">
        <v>3075</v>
      </c>
      <c r="AE15" s="20" t="s">
        <v>4697</v>
      </c>
      <c r="AF15" s="20">
        <v>6.0468869E7</v>
      </c>
      <c r="AG15" s="20" t="s">
        <v>4689</v>
      </c>
      <c r="AH15" s="20" t="s">
        <v>324</v>
      </c>
      <c r="AI15" s="20" t="s">
        <v>4698</v>
      </c>
      <c r="AJ15" s="20" t="s">
        <v>4699</v>
      </c>
      <c r="AK15" s="20" t="s">
        <v>4685</v>
      </c>
      <c r="AL15" s="20"/>
    </row>
    <row r="16" ht="60.0" customHeight="1">
      <c r="A16" s="20" t="s">
        <v>4700</v>
      </c>
      <c r="B16" s="20" t="s">
        <v>4700</v>
      </c>
      <c r="C16" s="20" t="s">
        <v>4512</v>
      </c>
      <c r="D16" s="21" t="s">
        <v>2911</v>
      </c>
      <c r="E16" s="20" t="s">
        <v>49</v>
      </c>
      <c r="F16" s="20" t="s">
        <v>4686</v>
      </c>
      <c r="G16" s="20"/>
      <c r="H16" s="22">
        <v>44272.0</v>
      </c>
      <c r="I16" s="22">
        <f>$H16+'17025 SAL'!$AN$1</f>
        <v>45732</v>
      </c>
      <c r="J16" s="22" t="s">
        <v>2750</v>
      </c>
      <c r="K16" s="20"/>
      <c r="L16" s="20" t="s">
        <v>4701</v>
      </c>
      <c r="M16" s="52" t="s">
        <v>4702</v>
      </c>
      <c r="N16" s="52" t="s">
        <v>4703</v>
      </c>
      <c r="O16" s="20">
        <v>2.2607661E7</v>
      </c>
      <c r="P16" s="20" t="s">
        <v>324</v>
      </c>
      <c r="Q16" s="20" t="s">
        <v>55</v>
      </c>
      <c r="R16" s="20" t="s">
        <v>4704</v>
      </c>
      <c r="S16" s="20" t="s">
        <v>121</v>
      </c>
      <c r="T16" s="20" t="s">
        <v>4705</v>
      </c>
      <c r="U16" s="20" t="s">
        <v>324</v>
      </c>
      <c r="V16" s="20" t="s">
        <v>4701</v>
      </c>
      <c r="W16" s="20">
        <v>4.01080643E8</v>
      </c>
      <c r="X16" s="20" t="s">
        <v>62</v>
      </c>
      <c r="Y16" s="20" t="s">
        <v>264</v>
      </c>
      <c r="Z16" s="20" t="s">
        <v>2678</v>
      </c>
      <c r="AA16" s="20" t="s">
        <v>4704</v>
      </c>
      <c r="AB16" s="20"/>
      <c r="AC16" s="20" t="s">
        <v>4706</v>
      </c>
      <c r="AD16" s="20" t="s">
        <v>170</v>
      </c>
      <c r="AE16" s="20" t="s">
        <v>4707</v>
      </c>
      <c r="AF16" s="20">
        <v>8.5544107E7</v>
      </c>
      <c r="AG16" s="20" t="s">
        <v>4708</v>
      </c>
      <c r="AH16" s="20" t="s">
        <v>324</v>
      </c>
      <c r="AI16" s="52" t="s">
        <v>4702</v>
      </c>
      <c r="AJ16" s="20" t="s">
        <v>4709</v>
      </c>
      <c r="AK16" s="20" t="s">
        <v>4700</v>
      </c>
      <c r="AL16" s="20" t="s">
        <v>4710</v>
      </c>
    </row>
    <row r="17" ht="60.0" customHeight="1">
      <c r="A17" s="20" t="s">
        <v>4711</v>
      </c>
      <c r="B17" s="20" t="s">
        <v>4712</v>
      </c>
      <c r="C17" s="20" t="s">
        <v>4512</v>
      </c>
      <c r="D17" s="21" t="s">
        <v>48</v>
      </c>
      <c r="E17" s="20" t="s">
        <v>49</v>
      </c>
      <c r="F17" s="20" t="s">
        <v>4713</v>
      </c>
      <c r="G17" s="20" t="s">
        <v>4713</v>
      </c>
      <c r="H17" s="22">
        <v>44575.0</v>
      </c>
      <c r="I17" s="22">
        <f>$H17+'17025 SAL'!$AN$1</f>
        <v>46035</v>
      </c>
      <c r="J17" s="22">
        <v>44677.0</v>
      </c>
      <c r="K17" s="20" t="s">
        <v>4714</v>
      </c>
      <c r="L17" s="20" t="s">
        <v>4715</v>
      </c>
      <c r="M17" s="52" t="s">
        <v>4716</v>
      </c>
      <c r="N17" s="52" t="s">
        <v>4717</v>
      </c>
      <c r="O17" s="20" t="s">
        <v>4718</v>
      </c>
      <c r="P17" s="20" t="s">
        <v>324</v>
      </c>
      <c r="Q17" s="20" t="s">
        <v>4719</v>
      </c>
      <c r="R17" s="20" t="s">
        <v>4720</v>
      </c>
      <c r="S17" s="20" t="s">
        <v>4721</v>
      </c>
      <c r="T17" s="20" t="s">
        <v>4722</v>
      </c>
      <c r="U17" s="52" t="s">
        <v>4723</v>
      </c>
      <c r="V17" s="20" t="s">
        <v>4724</v>
      </c>
      <c r="W17" s="20">
        <v>3.15095606E8</v>
      </c>
      <c r="X17" s="20" t="s">
        <v>304</v>
      </c>
      <c r="Y17" s="20" t="s">
        <v>4725</v>
      </c>
      <c r="Z17" s="20" t="s">
        <v>4726</v>
      </c>
      <c r="AA17" s="20" t="s">
        <v>4727</v>
      </c>
      <c r="AB17" s="20"/>
      <c r="AC17" s="20" t="s">
        <v>3860</v>
      </c>
      <c r="AD17" s="20" t="s">
        <v>4728</v>
      </c>
      <c r="AE17" s="20" t="s">
        <v>4729</v>
      </c>
      <c r="AF17" s="20">
        <v>1.4167472529E10</v>
      </c>
      <c r="AG17" s="20" t="s">
        <v>4730</v>
      </c>
      <c r="AH17" s="20" t="s">
        <v>324</v>
      </c>
      <c r="AI17" s="52" t="s">
        <v>4731</v>
      </c>
      <c r="AJ17" s="20" t="s">
        <v>4732</v>
      </c>
      <c r="AK17" s="20" t="s">
        <v>4712</v>
      </c>
      <c r="AL17" s="20"/>
    </row>
    <row r="18" ht="60.0" customHeight="1">
      <c r="A18" s="20" t="s">
        <v>4711</v>
      </c>
      <c r="B18" s="20" t="s">
        <v>4711</v>
      </c>
      <c r="C18" s="20" t="s">
        <v>4512</v>
      </c>
      <c r="D18" s="21" t="s">
        <v>48</v>
      </c>
      <c r="E18" s="20" t="s">
        <v>49</v>
      </c>
      <c r="F18" s="20" t="s">
        <v>4713</v>
      </c>
      <c r="G18" s="20" t="s">
        <v>4713</v>
      </c>
      <c r="H18" s="22">
        <v>45177.0</v>
      </c>
      <c r="I18" s="22">
        <f>$H18+'17025 SAL'!$AN$1</f>
        <v>46637</v>
      </c>
      <c r="J18" s="22">
        <v>45159.0</v>
      </c>
      <c r="K18" s="20" t="s">
        <v>4733</v>
      </c>
      <c r="L18" s="20" t="s">
        <v>4715</v>
      </c>
      <c r="M18" s="52" t="s">
        <v>4716</v>
      </c>
      <c r="N18" s="52" t="s">
        <v>4717</v>
      </c>
      <c r="O18" s="20" t="s">
        <v>4734</v>
      </c>
      <c r="P18" s="20"/>
      <c r="Q18" s="20" t="s">
        <v>4725</v>
      </c>
      <c r="R18" s="20" t="s">
        <v>4735</v>
      </c>
      <c r="S18" s="20" t="s">
        <v>4736</v>
      </c>
      <c r="T18" s="20" t="s">
        <v>4737</v>
      </c>
      <c r="U18" s="52" t="s">
        <v>4738</v>
      </c>
      <c r="V18" s="20" t="s">
        <v>4739</v>
      </c>
      <c r="W18" s="20" t="s">
        <v>4740</v>
      </c>
      <c r="X18" s="20" t="s">
        <v>4741</v>
      </c>
      <c r="Y18" s="20" t="s">
        <v>4725</v>
      </c>
      <c r="Z18" s="20" t="s">
        <v>4742</v>
      </c>
      <c r="AA18" s="20" t="s">
        <v>4735</v>
      </c>
      <c r="AB18" s="20"/>
      <c r="AC18" s="20" t="s">
        <v>67</v>
      </c>
      <c r="AD18" s="20" t="s">
        <v>4728</v>
      </c>
      <c r="AE18" s="20" t="s">
        <v>4729</v>
      </c>
      <c r="AF18" s="20">
        <v>1.4167472529E10</v>
      </c>
      <c r="AG18" s="20" t="s">
        <v>4743</v>
      </c>
      <c r="AH18" s="20" t="s">
        <v>324</v>
      </c>
      <c r="AI18" s="20" t="s">
        <v>4744</v>
      </c>
      <c r="AJ18" s="20" t="s">
        <v>4732</v>
      </c>
      <c r="AK18" s="20" t="s">
        <v>4745</v>
      </c>
      <c r="AL18" s="20" t="s">
        <v>4746</v>
      </c>
    </row>
    <row r="19" ht="60.0" customHeight="1">
      <c r="A19" s="20" t="s">
        <v>4747</v>
      </c>
      <c r="B19" s="20" t="s">
        <v>4748</v>
      </c>
      <c r="C19" s="20" t="s">
        <v>4512</v>
      </c>
      <c r="D19" s="21" t="s">
        <v>48</v>
      </c>
      <c r="E19" s="20" t="s">
        <v>49</v>
      </c>
      <c r="F19" s="20" t="s">
        <v>4671</v>
      </c>
      <c r="G19" s="20" t="s">
        <v>4749</v>
      </c>
      <c r="H19" s="22">
        <v>44812.0</v>
      </c>
      <c r="I19" s="22">
        <f>$H19+'17025 SAL'!$AN$1</f>
        <v>46272</v>
      </c>
      <c r="J19" s="22">
        <v>45159.0</v>
      </c>
      <c r="K19" s="20"/>
      <c r="L19" s="20" t="s">
        <v>4750</v>
      </c>
      <c r="M19" s="52" t="s">
        <v>4751</v>
      </c>
      <c r="N19" s="38" t="s">
        <v>4752</v>
      </c>
      <c r="O19" s="20" t="s">
        <v>4753</v>
      </c>
      <c r="P19" s="20" t="s">
        <v>324</v>
      </c>
      <c r="Q19" s="20" t="s">
        <v>661</v>
      </c>
      <c r="R19" s="20" t="s">
        <v>4754</v>
      </c>
      <c r="S19" s="20" t="s">
        <v>661</v>
      </c>
      <c r="T19" s="20" t="s">
        <v>4755</v>
      </c>
      <c r="U19" s="52" t="s">
        <v>4756</v>
      </c>
      <c r="V19" s="20" t="s">
        <v>4750</v>
      </c>
      <c r="W19" s="20" t="s">
        <v>4757</v>
      </c>
      <c r="X19" s="20" t="s">
        <v>84</v>
      </c>
      <c r="Y19" s="20" t="s">
        <v>666</v>
      </c>
      <c r="Z19" s="20" t="s">
        <v>4758</v>
      </c>
      <c r="AA19" s="20" t="s">
        <v>4759</v>
      </c>
      <c r="AB19" s="20"/>
      <c r="AC19" s="20" t="s">
        <v>67</v>
      </c>
      <c r="AD19" s="20" t="s">
        <v>1143</v>
      </c>
      <c r="AE19" s="20" t="s">
        <v>4750</v>
      </c>
      <c r="AF19" s="20" t="s">
        <v>4760</v>
      </c>
      <c r="AG19" s="20" t="s">
        <v>4754</v>
      </c>
      <c r="AH19" s="20" t="s">
        <v>324</v>
      </c>
      <c r="AI19" s="52" t="s">
        <v>4761</v>
      </c>
      <c r="AJ19" s="20" t="s">
        <v>1091</v>
      </c>
      <c r="AK19" s="20" t="s">
        <v>4762</v>
      </c>
      <c r="AL19" s="20"/>
    </row>
    <row r="20" ht="60.0" customHeight="1">
      <c r="A20" s="20" t="s">
        <v>4763</v>
      </c>
      <c r="B20" s="20" t="s">
        <v>4764</v>
      </c>
      <c r="C20" s="20" t="s">
        <v>4512</v>
      </c>
      <c r="D20" s="21" t="s">
        <v>2911</v>
      </c>
      <c r="E20" s="20" t="s">
        <v>49</v>
      </c>
      <c r="F20" s="20" t="s">
        <v>4651</v>
      </c>
      <c r="G20" s="20"/>
      <c r="H20" s="22">
        <v>45027.0</v>
      </c>
      <c r="I20" s="22">
        <f>$H20+'17025 SAL'!$AN$1</f>
        <v>46487</v>
      </c>
      <c r="J20" s="22"/>
      <c r="K20" s="20"/>
      <c r="L20" s="20" t="s">
        <v>4765</v>
      </c>
      <c r="M20" s="52" t="s">
        <v>4766</v>
      </c>
      <c r="N20" s="52" t="s">
        <v>4767</v>
      </c>
      <c r="O20" s="20">
        <v>2.4436462E7</v>
      </c>
      <c r="P20" s="20" t="s">
        <v>140</v>
      </c>
      <c r="Q20" s="20" t="s">
        <v>55</v>
      </c>
      <c r="R20" s="20" t="s">
        <v>4768</v>
      </c>
      <c r="S20" s="20" t="s">
        <v>979</v>
      </c>
      <c r="T20" s="20">
        <v>3.101263133E9</v>
      </c>
      <c r="U20" s="52" t="s">
        <v>4769</v>
      </c>
      <c r="V20" s="20" t="s">
        <v>4770</v>
      </c>
      <c r="W20" s="20" t="s">
        <v>4771</v>
      </c>
      <c r="X20" s="20" t="s">
        <v>62</v>
      </c>
      <c r="Y20" s="20" t="s">
        <v>63</v>
      </c>
      <c r="Z20" s="20" t="s">
        <v>459</v>
      </c>
      <c r="AA20" s="20" t="s">
        <v>4768</v>
      </c>
      <c r="AB20" s="20"/>
      <c r="AC20" s="20" t="s">
        <v>4772</v>
      </c>
      <c r="AD20" s="20" t="s">
        <v>4773</v>
      </c>
      <c r="AE20" s="20" t="s">
        <v>1143</v>
      </c>
      <c r="AF20" s="20">
        <v>8.8284912E7</v>
      </c>
      <c r="AG20" s="20" t="s">
        <v>4768</v>
      </c>
      <c r="AH20" s="20" t="s">
        <v>140</v>
      </c>
      <c r="AI20" s="52" t="s">
        <v>4774</v>
      </c>
      <c r="AJ20" s="20" t="s">
        <v>4775</v>
      </c>
      <c r="AK20" s="20" t="s">
        <v>4763</v>
      </c>
      <c r="AL20" s="20"/>
    </row>
    <row r="21" ht="60.0" customHeight="1">
      <c r="A21" s="20" t="s">
        <v>4776</v>
      </c>
      <c r="B21" s="20" t="s">
        <v>4777</v>
      </c>
      <c r="C21" s="20" t="s">
        <v>4512</v>
      </c>
      <c r="D21" s="21" t="s">
        <v>2911</v>
      </c>
      <c r="E21" s="20" t="s">
        <v>49</v>
      </c>
      <c r="F21" s="20" t="s">
        <v>4778</v>
      </c>
      <c r="G21" s="20"/>
      <c r="H21" s="22">
        <v>45721.0</v>
      </c>
      <c r="I21" s="22" t="s">
        <v>76</v>
      </c>
      <c r="J21" s="22"/>
      <c r="K21" s="20"/>
      <c r="L21" s="20" t="s">
        <v>4779</v>
      </c>
      <c r="M21" s="20" t="s">
        <v>4780</v>
      </c>
      <c r="N21" s="20" t="s">
        <v>4781</v>
      </c>
      <c r="O21" s="20">
        <v>8.3159048E7</v>
      </c>
      <c r="P21" s="20" t="s">
        <v>140</v>
      </c>
      <c r="Q21" s="20" t="s">
        <v>55</v>
      </c>
      <c r="R21" s="20" t="s">
        <v>4782</v>
      </c>
      <c r="S21" s="20" t="s">
        <v>57</v>
      </c>
      <c r="T21" s="20" t="s">
        <v>4783</v>
      </c>
      <c r="U21" s="20" t="s">
        <v>4784</v>
      </c>
      <c r="V21" s="20" t="s">
        <v>4779</v>
      </c>
      <c r="W21" s="20">
        <v>1.15560831E8</v>
      </c>
      <c r="X21" s="20" t="s">
        <v>62</v>
      </c>
      <c r="Y21" s="20" t="s">
        <v>63</v>
      </c>
      <c r="Z21" s="20" t="s">
        <v>167</v>
      </c>
      <c r="AA21" s="20" t="s">
        <v>4785</v>
      </c>
      <c r="AB21" s="20"/>
      <c r="AC21" s="20" t="s">
        <v>67</v>
      </c>
      <c r="AD21" s="20" t="s">
        <v>4779</v>
      </c>
      <c r="AE21" s="20" t="s">
        <v>4095</v>
      </c>
      <c r="AF21" s="20">
        <v>8.3159048E7</v>
      </c>
      <c r="AG21" s="20" t="s">
        <v>4785</v>
      </c>
      <c r="AH21" s="20" t="s">
        <v>140</v>
      </c>
      <c r="AI21" s="20" t="s">
        <v>4780</v>
      </c>
      <c r="AJ21" s="20" t="s">
        <v>1091</v>
      </c>
      <c r="AK21" s="20" t="s">
        <v>4776</v>
      </c>
      <c r="AL21" s="20"/>
    </row>
    <row r="22" ht="60.0" customHeight="1">
      <c r="A22" s="20" t="s">
        <v>4786</v>
      </c>
      <c r="B22" s="20" t="s">
        <v>4787</v>
      </c>
      <c r="C22" s="20" t="s">
        <v>4512</v>
      </c>
      <c r="D22" s="21" t="s">
        <v>48</v>
      </c>
      <c r="E22" s="20" t="s">
        <v>49</v>
      </c>
      <c r="F22" s="20" t="s">
        <v>4788</v>
      </c>
      <c r="G22" s="20" t="s">
        <v>4788</v>
      </c>
      <c r="H22" s="22">
        <v>45747.0</v>
      </c>
      <c r="I22" s="22" t="s">
        <v>76</v>
      </c>
      <c r="J22" s="22">
        <v>46062.0</v>
      </c>
      <c r="K22" s="20"/>
      <c r="L22" s="20" t="s">
        <v>4789</v>
      </c>
      <c r="M22" s="20" t="s">
        <v>4790</v>
      </c>
      <c r="N22" s="20" t="s">
        <v>4791</v>
      </c>
      <c r="O22" s="20" t="s">
        <v>4792</v>
      </c>
      <c r="P22" s="20" t="s">
        <v>4793</v>
      </c>
      <c r="Q22" s="20" t="s">
        <v>55</v>
      </c>
      <c r="R22" s="20" t="s">
        <v>4794</v>
      </c>
      <c r="S22" s="20" t="s">
        <v>57</v>
      </c>
      <c r="T22" s="20" t="s">
        <v>4795</v>
      </c>
      <c r="U22" s="20" t="s">
        <v>4796</v>
      </c>
      <c r="V22" s="20" t="s">
        <v>4797</v>
      </c>
      <c r="W22" s="20">
        <v>1.06320878E8</v>
      </c>
      <c r="X22" s="20" t="s">
        <v>62</v>
      </c>
      <c r="Y22" s="20" t="s">
        <v>63</v>
      </c>
      <c r="Z22" s="20" t="s">
        <v>812</v>
      </c>
      <c r="AA22" s="20" t="s">
        <v>4794</v>
      </c>
      <c r="AB22" s="20" t="s">
        <v>4798</v>
      </c>
      <c r="AC22" s="20" t="s">
        <v>347</v>
      </c>
      <c r="AD22" s="20" t="s">
        <v>4799</v>
      </c>
      <c r="AE22" s="20" t="s">
        <v>4800</v>
      </c>
      <c r="AF22" s="20" t="s">
        <v>4801</v>
      </c>
      <c r="AG22" s="20" t="s">
        <v>4794</v>
      </c>
      <c r="AH22" s="20" t="s">
        <v>4793</v>
      </c>
      <c r="AI22" s="20" t="s">
        <v>4802</v>
      </c>
      <c r="AJ22" s="20" t="s">
        <v>4282</v>
      </c>
      <c r="AK22" s="20" t="s">
        <v>4803</v>
      </c>
      <c r="AL22" s="20"/>
    </row>
    <row r="23" ht="60.0" customHeight="1">
      <c r="A23" s="20" t="s">
        <v>4804</v>
      </c>
      <c r="B23" s="20" t="s">
        <v>4804</v>
      </c>
      <c r="C23" s="20" t="s">
        <v>4512</v>
      </c>
      <c r="D23" s="21" t="s">
        <v>2911</v>
      </c>
      <c r="E23" s="20" t="s">
        <v>49</v>
      </c>
      <c r="F23" s="20" t="s">
        <v>4805</v>
      </c>
      <c r="G23" s="20"/>
      <c r="H23" s="22">
        <v>45812.0</v>
      </c>
      <c r="I23" s="22" t="s">
        <v>76</v>
      </c>
      <c r="J23" s="22"/>
      <c r="K23" s="20"/>
      <c r="L23" s="20" t="s">
        <v>4806</v>
      </c>
      <c r="M23" s="20" t="s">
        <v>4807</v>
      </c>
      <c r="N23" s="20" t="s">
        <v>4808</v>
      </c>
      <c r="O23" s="20" t="s">
        <v>4809</v>
      </c>
      <c r="P23" s="20" t="s">
        <v>140</v>
      </c>
      <c r="Q23" s="20" t="s">
        <v>55</v>
      </c>
      <c r="R23" s="20" t="s">
        <v>4810</v>
      </c>
      <c r="S23" s="20" t="s">
        <v>979</v>
      </c>
      <c r="T23" s="20">
        <v>3.101895506E9</v>
      </c>
      <c r="U23" s="20" t="s">
        <v>4811</v>
      </c>
      <c r="V23" s="20" t="s">
        <v>4812</v>
      </c>
      <c r="W23" s="20" t="s">
        <v>4813</v>
      </c>
      <c r="X23" s="20" t="s">
        <v>62</v>
      </c>
      <c r="Y23" s="20" t="s">
        <v>63</v>
      </c>
      <c r="Z23" s="20" t="s">
        <v>327</v>
      </c>
      <c r="AA23" s="20" t="s">
        <v>4810</v>
      </c>
      <c r="AB23" s="20" t="s">
        <v>4808</v>
      </c>
      <c r="AC23" s="20" t="s">
        <v>67</v>
      </c>
      <c r="AD23" s="20" t="s">
        <v>4814</v>
      </c>
      <c r="AE23" s="20" t="s">
        <v>4815</v>
      </c>
      <c r="AF23" s="20">
        <v>7.1255801E7</v>
      </c>
      <c r="AG23" s="20" t="s">
        <v>4810</v>
      </c>
      <c r="AH23" s="20" t="s">
        <v>140</v>
      </c>
      <c r="AI23" s="38" t="s">
        <v>4816</v>
      </c>
      <c r="AJ23" s="20" t="s">
        <v>4817</v>
      </c>
      <c r="AK23" s="20" t="s">
        <v>4804</v>
      </c>
      <c r="AL23" s="20"/>
    </row>
    <row r="24" ht="60.0" customHeight="1">
      <c r="A24" s="20"/>
      <c r="B24" s="20"/>
      <c r="C24" s="20"/>
      <c r="D24" s="21"/>
      <c r="E24" s="20"/>
      <c r="F24" s="20"/>
      <c r="G24" s="20"/>
      <c r="H24" s="22"/>
      <c r="I24" s="22"/>
      <c r="J24" s="22"/>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AK24" s="20"/>
      <c r="AL24" s="20"/>
    </row>
    <row r="25" ht="60.0" customHeight="1">
      <c r="A25" s="20"/>
      <c r="B25" s="20"/>
      <c r="C25" s="20"/>
      <c r="D25" s="21"/>
      <c r="E25" s="20"/>
      <c r="F25" s="20"/>
      <c r="G25" s="20"/>
      <c r="H25" s="22"/>
      <c r="I25" s="22"/>
      <c r="J25" s="22"/>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AK25" s="20"/>
      <c r="AL25" s="20"/>
    </row>
    <row r="26" ht="15.75" customHeight="1">
      <c r="A26" s="149"/>
      <c r="B26" s="149"/>
      <c r="C26" s="149"/>
      <c r="D26" s="150"/>
      <c r="E26" s="149"/>
      <c r="F26" s="149"/>
      <c r="G26" s="151"/>
      <c r="H26" s="152"/>
      <c r="I26" s="152"/>
      <c r="J26" s="152"/>
      <c r="K26" s="149"/>
      <c r="L26" s="149"/>
      <c r="M26" s="149"/>
      <c r="N26" s="149"/>
      <c r="O26" s="149"/>
      <c r="P26" s="149"/>
      <c r="Q26" s="149"/>
      <c r="R26" s="149"/>
      <c r="S26" s="149"/>
      <c r="T26" s="149"/>
      <c r="U26" s="149"/>
      <c r="V26" s="149"/>
      <c r="W26" s="149"/>
      <c r="X26" s="149"/>
      <c r="Y26" s="149"/>
      <c r="Z26" s="149"/>
      <c r="AA26" s="149"/>
      <c r="AB26" s="149"/>
      <c r="AC26" s="149"/>
      <c r="AD26" s="149"/>
      <c r="AE26" s="149"/>
      <c r="AF26" s="149"/>
      <c r="AG26" s="149"/>
      <c r="AH26" s="149"/>
      <c r="AI26" s="149"/>
      <c r="AJ26" s="149"/>
      <c r="AK26" s="149"/>
      <c r="AL26" s="149"/>
    </row>
    <row r="27" ht="48.75" customHeight="1">
      <c r="D27" s="128"/>
      <c r="G27" s="153"/>
      <c r="H27" s="154"/>
      <c r="I27" s="154"/>
      <c r="J27" s="154"/>
    </row>
    <row r="28" ht="15.75" customHeight="1">
      <c r="D28" s="128"/>
      <c r="G28" s="153"/>
      <c r="H28" s="154"/>
      <c r="I28" s="154"/>
      <c r="J28" s="154"/>
    </row>
    <row r="29" ht="15.75" customHeight="1">
      <c r="D29" s="128"/>
      <c r="G29" s="153"/>
      <c r="H29" s="154"/>
      <c r="I29" s="154"/>
      <c r="J29" s="154"/>
    </row>
    <row r="30" ht="15.0" customHeight="1">
      <c r="B30" s="131"/>
      <c r="D30" s="128"/>
      <c r="G30" s="153"/>
      <c r="H30" s="154"/>
      <c r="I30" s="154"/>
      <c r="J30" s="154"/>
    </row>
    <row r="31" ht="15.0" customHeight="1">
      <c r="B31" s="131"/>
      <c r="D31" s="128"/>
      <c r="G31" s="153"/>
      <c r="H31" s="154"/>
      <c r="I31" s="154"/>
      <c r="J31" s="154"/>
    </row>
    <row r="32" ht="15.0" customHeight="1">
      <c r="B32" s="131"/>
      <c r="D32" s="128"/>
      <c r="G32" s="153"/>
      <c r="H32" s="154"/>
      <c r="I32" s="154"/>
      <c r="J32" s="154"/>
    </row>
    <row r="33" ht="15.0" customHeight="1">
      <c r="B33" s="131"/>
      <c r="D33" s="128"/>
      <c r="G33" s="153"/>
      <c r="H33" s="154"/>
      <c r="I33" s="154"/>
      <c r="J33" s="154"/>
    </row>
    <row r="34" ht="15.0" customHeight="1">
      <c r="A34" s="101" t="s">
        <v>3266</v>
      </c>
      <c r="D34" s="128"/>
      <c r="G34" s="153"/>
      <c r="H34" s="154"/>
      <c r="I34" s="154"/>
      <c r="J34" s="154"/>
    </row>
    <row r="35" ht="15.0" customHeight="1">
      <c r="A35" s="102" t="s">
        <v>11</v>
      </c>
      <c r="B35" s="103"/>
      <c r="D35" s="128"/>
      <c r="G35" s="153"/>
      <c r="H35" s="154"/>
      <c r="I35" s="154"/>
      <c r="J35" s="154"/>
    </row>
    <row r="36" ht="15.0" customHeight="1">
      <c r="A36" s="21" t="s">
        <v>48</v>
      </c>
      <c r="B36" s="104" t="s">
        <v>3267</v>
      </c>
      <c r="D36" s="128"/>
      <c r="G36" s="153"/>
      <c r="H36" s="154"/>
      <c r="I36" s="154"/>
      <c r="J36" s="154"/>
    </row>
    <row r="37" ht="15.0" customHeight="1">
      <c r="A37" s="21" t="s">
        <v>822</v>
      </c>
      <c r="B37" s="104" t="s">
        <v>3268</v>
      </c>
      <c r="D37" s="128"/>
      <c r="G37" s="153"/>
      <c r="H37" s="154"/>
      <c r="I37" s="154"/>
      <c r="J37" s="154"/>
    </row>
    <row r="38" ht="15.0" customHeight="1">
      <c r="A38" s="21" t="s">
        <v>213</v>
      </c>
      <c r="B38" s="104" t="s">
        <v>3269</v>
      </c>
      <c r="D38" s="128"/>
      <c r="G38" s="153"/>
      <c r="H38" s="154"/>
      <c r="I38" s="154"/>
      <c r="J38" s="154"/>
    </row>
    <row r="39" ht="15.0" customHeight="1">
      <c r="A39" s="21" t="s">
        <v>314</v>
      </c>
      <c r="B39" s="104" t="s">
        <v>3270</v>
      </c>
      <c r="D39" s="128"/>
      <c r="G39" s="153"/>
      <c r="H39" s="154"/>
      <c r="I39" s="154"/>
      <c r="J39" s="154"/>
    </row>
    <row r="40" ht="15.0" customHeight="1">
      <c r="A40" s="21" t="s">
        <v>2027</v>
      </c>
      <c r="B40" s="104" t="s">
        <v>3271</v>
      </c>
      <c r="D40" s="128"/>
      <c r="G40" s="153"/>
      <c r="H40" s="154"/>
      <c r="I40" s="154"/>
      <c r="J40" s="154"/>
    </row>
    <row r="41" ht="15.0" customHeight="1">
      <c r="A41" s="21" t="s">
        <v>2911</v>
      </c>
      <c r="B41" s="104" t="s">
        <v>3272</v>
      </c>
      <c r="D41" s="128"/>
      <c r="G41" s="153"/>
      <c r="H41" s="154"/>
      <c r="I41" s="154"/>
      <c r="J41" s="154"/>
    </row>
    <row r="42" ht="15.75" customHeight="1">
      <c r="D42" s="128"/>
      <c r="G42" s="153"/>
      <c r="H42" s="154"/>
      <c r="I42" s="154"/>
      <c r="J42" s="154"/>
    </row>
    <row r="43" ht="15.75" customHeight="1">
      <c r="D43" s="128"/>
      <c r="G43" s="153"/>
      <c r="H43" s="154"/>
      <c r="I43" s="154"/>
      <c r="J43" s="154"/>
    </row>
    <row r="44" ht="15.75" customHeight="1">
      <c r="D44" s="128"/>
      <c r="G44" s="153"/>
      <c r="H44" s="154"/>
      <c r="I44" s="154"/>
      <c r="J44" s="154"/>
    </row>
    <row r="45" ht="15.75" customHeight="1">
      <c r="D45" s="128"/>
      <c r="G45" s="153"/>
      <c r="H45" s="154"/>
      <c r="I45" s="154"/>
      <c r="J45" s="154"/>
    </row>
    <row r="46" ht="15.75" customHeight="1">
      <c r="D46" s="128"/>
      <c r="G46" s="153"/>
      <c r="H46" s="154"/>
      <c r="I46" s="154"/>
      <c r="J46" s="154"/>
    </row>
    <row r="47" ht="15.75" customHeight="1">
      <c r="D47" s="128"/>
      <c r="G47" s="153"/>
      <c r="H47" s="154"/>
      <c r="I47" s="154"/>
      <c r="J47" s="154"/>
    </row>
    <row r="48" ht="15.75" customHeight="1">
      <c r="D48" s="128"/>
      <c r="G48" s="153"/>
      <c r="H48" s="154"/>
      <c r="I48" s="154"/>
      <c r="J48" s="154"/>
    </row>
    <row r="49" ht="15.75" customHeight="1">
      <c r="D49" s="128"/>
      <c r="G49" s="153"/>
      <c r="H49" s="154"/>
      <c r="I49" s="154"/>
      <c r="J49" s="154"/>
    </row>
    <row r="50" ht="15.75" customHeight="1">
      <c r="D50" s="128"/>
      <c r="G50" s="153"/>
      <c r="H50" s="154"/>
      <c r="I50" s="154"/>
      <c r="J50" s="154"/>
    </row>
    <row r="51" ht="15.75" customHeight="1">
      <c r="D51" s="128"/>
      <c r="G51" s="153"/>
      <c r="H51" s="154"/>
      <c r="I51" s="154"/>
      <c r="J51" s="154"/>
    </row>
    <row r="52" ht="15.75" customHeight="1">
      <c r="D52" s="128"/>
      <c r="G52" s="153"/>
      <c r="H52" s="154"/>
      <c r="I52" s="154"/>
      <c r="J52" s="154"/>
    </row>
    <row r="53" ht="15.75" customHeight="1">
      <c r="D53" s="128"/>
      <c r="G53" s="153"/>
      <c r="H53" s="154"/>
      <c r="I53" s="154"/>
      <c r="J53" s="154"/>
    </row>
    <row r="54" ht="15.75" customHeight="1">
      <c r="D54" s="128"/>
      <c r="G54" s="153"/>
      <c r="H54" s="154"/>
      <c r="I54" s="154"/>
      <c r="J54" s="154"/>
    </row>
    <row r="55" ht="15.75" customHeight="1">
      <c r="D55" s="128"/>
      <c r="G55" s="153"/>
      <c r="H55" s="154"/>
      <c r="I55" s="154"/>
      <c r="J55" s="154"/>
    </row>
    <row r="56" ht="15.75" customHeight="1">
      <c r="D56" s="128"/>
      <c r="G56" s="153"/>
      <c r="H56" s="154"/>
      <c r="I56" s="154"/>
      <c r="J56" s="154"/>
    </row>
    <row r="57" ht="15.75" customHeight="1">
      <c r="D57" s="128"/>
      <c r="G57" s="153"/>
      <c r="H57" s="154"/>
      <c r="I57" s="154"/>
      <c r="J57" s="154"/>
    </row>
    <row r="58" ht="15.75" customHeight="1">
      <c r="D58" s="128"/>
      <c r="G58" s="153"/>
      <c r="H58" s="154"/>
      <c r="I58" s="154"/>
      <c r="J58" s="154"/>
    </row>
    <row r="59" ht="15.75" customHeight="1">
      <c r="D59" s="128"/>
      <c r="G59" s="153"/>
      <c r="H59" s="154"/>
      <c r="I59" s="154"/>
      <c r="J59" s="154"/>
    </row>
    <row r="60" ht="15.75" customHeight="1">
      <c r="D60" s="128"/>
      <c r="G60" s="153"/>
      <c r="H60" s="154"/>
      <c r="I60" s="154"/>
      <c r="J60" s="154"/>
    </row>
    <row r="61" ht="15.75" customHeight="1">
      <c r="D61" s="128"/>
      <c r="G61" s="153"/>
      <c r="H61" s="154"/>
      <c r="I61" s="154"/>
      <c r="J61" s="154"/>
    </row>
    <row r="62" ht="15.75" customHeight="1">
      <c r="D62" s="128"/>
      <c r="G62" s="153"/>
      <c r="H62" s="154"/>
      <c r="I62" s="154"/>
      <c r="J62" s="154"/>
    </row>
    <row r="63" ht="15.75" customHeight="1">
      <c r="D63" s="128"/>
      <c r="G63" s="153"/>
      <c r="H63" s="154"/>
      <c r="I63" s="154"/>
      <c r="J63" s="154"/>
    </row>
    <row r="64" ht="15.75" customHeight="1">
      <c r="D64" s="128"/>
      <c r="G64" s="153"/>
      <c r="H64" s="154"/>
      <c r="I64" s="154"/>
      <c r="J64" s="154"/>
    </row>
    <row r="65" ht="15.75" customHeight="1">
      <c r="D65" s="128"/>
      <c r="G65" s="153"/>
      <c r="H65" s="154"/>
      <c r="I65" s="154"/>
      <c r="J65" s="154"/>
    </row>
    <row r="66" ht="15.75" customHeight="1">
      <c r="D66" s="128"/>
      <c r="G66" s="153"/>
      <c r="H66" s="154"/>
      <c r="I66" s="154"/>
      <c r="J66" s="154"/>
    </row>
    <row r="67" ht="15.75" customHeight="1">
      <c r="D67" s="128"/>
      <c r="G67" s="153"/>
      <c r="H67" s="154"/>
      <c r="I67" s="154"/>
      <c r="J67" s="154"/>
    </row>
    <row r="68" ht="15.75" customHeight="1">
      <c r="D68" s="128"/>
      <c r="G68" s="153"/>
      <c r="H68" s="154"/>
      <c r="I68" s="154"/>
      <c r="J68" s="154"/>
    </row>
    <row r="69" ht="15.75" customHeight="1">
      <c r="D69" s="128"/>
      <c r="G69" s="153"/>
      <c r="H69" s="154"/>
      <c r="I69" s="154"/>
      <c r="J69" s="154"/>
    </row>
    <row r="70" ht="15.75" customHeight="1">
      <c r="D70" s="128"/>
      <c r="G70" s="153"/>
      <c r="H70" s="154"/>
      <c r="I70" s="154"/>
      <c r="J70" s="154"/>
    </row>
    <row r="71" ht="15.75" customHeight="1">
      <c r="D71" s="128"/>
      <c r="G71" s="153"/>
      <c r="H71" s="154"/>
      <c r="I71" s="154"/>
      <c r="J71" s="154"/>
    </row>
    <row r="72" ht="15.75" customHeight="1">
      <c r="D72" s="128"/>
      <c r="G72" s="153"/>
      <c r="H72" s="154"/>
      <c r="I72" s="154"/>
      <c r="J72" s="154"/>
    </row>
    <row r="73" ht="15.75" customHeight="1">
      <c r="D73" s="128"/>
      <c r="G73" s="153"/>
      <c r="H73" s="154"/>
      <c r="I73" s="154"/>
      <c r="J73" s="154"/>
    </row>
    <row r="74" ht="15.75" customHeight="1">
      <c r="D74" s="128"/>
      <c r="G74" s="153"/>
      <c r="H74" s="154"/>
      <c r="I74" s="154"/>
      <c r="J74" s="154"/>
    </row>
    <row r="75" ht="15.75" customHeight="1">
      <c r="D75" s="128"/>
      <c r="G75" s="153"/>
      <c r="H75" s="154"/>
      <c r="I75" s="154"/>
      <c r="J75" s="154"/>
    </row>
    <row r="76" ht="15.75" customHeight="1">
      <c r="D76" s="128"/>
      <c r="G76" s="153"/>
      <c r="H76" s="154"/>
      <c r="I76" s="154"/>
      <c r="J76" s="154"/>
    </row>
    <row r="77" ht="15.75" customHeight="1">
      <c r="D77" s="128"/>
      <c r="G77" s="153"/>
      <c r="H77" s="154"/>
      <c r="I77" s="154"/>
      <c r="J77" s="154"/>
    </row>
    <row r="78" ht="15.75" customHeight="1">
      <c r="D78" s="128"/>
      <c r="G78" s="153"/>
      <c r="H78" s="154"/>
      <c r="I78" s="154"/>
      <c r="J78" s="154"/>
    </row>
    <row r="79" ht="15.75" customHeight="1">
      <c r="D79" s="128"/>
      <c r="G79" s="153"/>
      <c r="H79" s="154"/>
      <c r="I79" s="154"/>
      <c r="J79" s="154"/>
    </row>
    <row r="80" ht="15.75" customHeight="1">
      <c r="D80" s="128"/>
      <c r="G80" s="153"/>
      <c r="H80" s="154"/>
      <c r="I80" s="154"/>
      <c r="J80" s="154"/>
    </row>
    <row r="81" ht="15.75" customHeight="1">
      <c r="D81" s="128"/>
      <c r="G81" s="153"/>
      <c r="H81" s="154"/>
      <c r="I81" s="154"/>
      <c r="J81" s="154"/>
    </row>
    <row r="82" ht="15.75" customHeight="1">
      <c r="D82" s="128"/>
      <c r="G82" s="153"/>
      <c r="H82" s="154"/>
      <c r="I82" s="154"/>
      <c r="J82" s="154"/>
    </row>
    <row r="83" ht="15.75" customHeight="1">
      <c r="D83" s="128"/>
      <c r="G83" s="153"/>
      <c r="H83" s="154"/>
      <c r="I83" s="154"/>
      <c r="J83" s="154"/>
    </row>
    <row r="84" ht="15.75" customHeight="1">
      <c r="D84" s="128"/>
      <c r="G84" s="153"/>
      <c r="H84" s="154"/>
      <c r="I84" s="154"/>
      <c r="J84" s="154"/>
    </row>
    <row r="85" ht="15.75" customHeight="1">
      <c r="D85" s="128"/>
      <c r="G85" s="153"/>
      <c r="H85" s="154"/>
      <c r="I85" s="154"/>
      <c r="J85" s="154"/>
    </row>
    <row r="86" ht="15.75" customHeight="1">
      <c r="D86" s="128"/>
      <c r="G86" s="153"/>
      <c r="H86" s="154"/>
      <c r="I86" s="154"/>
      <c r="J86" s="154"/>
    </row>
    <row r="87" ht="15.75" customHeight="1">
      <c r="D87" s="128"/>
      <c r="G87" s="153"/>
      <c r="H87" s="154"/>
      <c r="I87" s="154"/>
      <c r="J87" s="154"/>
    </row>
    <row r="88" ht="15.75" customHeight="1">
      <c r="D88" s="128"/>
      <c r="G88" s="153"/>
      <c r="H88" s="154"/>
      <c r="I88" s="154"/>
      <c r="J88" s="154"/>
    </row>
    <row r="89" ht="15.75" customHeight="1">
      <c r="D89" s="128"/>
      <c r="G89" s="153"/>
      <c r="H89" s="154"/>
      <c r="I89" s="154"/>
      <c r="J89" s="154"/>
    </row>
    <row r="90" ht="15.75" customHeight="1">
      <c r="D90" s="128"/>
      <c r="G90" s="153"/>
      <c r="H90" s="154"/>
      <c r="I90" s="154"/>
      <c r="J90" s="154"/>
    </row>
    <row r="91" ht="15.75" customHeight="1">
      <c r="D91" s="128"/>
      <c r="G91" s="153"/>
      <c r="H91" s="154"/>
      <c r="I91" s="154"/>
      <c r="J91" s="154"/>
    </row>
    <row r="92" ht="15.75" customHeight="1">
      <c r="D92" s="128"/>
      <c r="G92" s="153"/>
      <c r="H92" s="154"/>
      <c r="I92" s="154"/>
      <c r="J92" s="154"/>
    </row>
    <row r="93" ht="15.75" customHeight="1">
      <c r="D93" s="128"/>
      <c r="G93" s="153"/>
      <c r="H93" s="154"/>
      <c r="I93" s="154"/>
      <c r="J93" s="154"/>
    </row>
    <row r="94" ht="15.75" customHeight="1">
      <c r="D94" s="128"/>
      <c r="G94" s="153"/>
      <c r="H94" s="154"/>
      <c r="I94" s="154"/>
      <c r="J94" s="154"/>
    </row>
    <row r="95" ht="15.75" customHeight="1">
      <c r="D95" s="128"/>
      <c r="G95" s="153"/>
      <c r="H95" s="154"/>
      <c r="I95" s="154"/>
      <c r="J95" s="154"/>
    </row>
    <row r="96" ht="15.75" customHeight="1">
      <c r="D96" s="128"/>
      <c r="G96" s="153"/>
      <c r="H96" s="154"/>
      <c r="I96" s="154"/>
      <c r="J96" s="154"/>
    </row>
    <row r="97" ht="15.75" customHeight="1">
      <c r="D97" s="128"/>
      <c r="G97" s="153"/>
      <c r="H97" s="154"/>
      <c r="I97" s="154"/>
      <c r="J97" s="154"/>
    </row>
    <row r="98" ht="15.75" customHeight="1">
      <c r="D98" s="128"/>
      <c r="G98" s="153"/>
      <c r="H98" s="154"/>
      <c r="I98" s="154"/>
      <c r="J98" s="154"/>
    </row>
    <row r="99" ht="15.75" customHeight="1">
      <c r="D99" s="128"/>
      <c r="G99" s="153"/>
      <c r="H99" s="154"/>
      <c r="I99" s="154"/>
      <c r="J99" s="154"/>
    </row>
    <row r="100" ht="15.75" customHeight="1">
      <c r="D100" s="128"/>
      <c r="G100" s="153"/>
      <c r="H100" s="154"/>
      <c r="I100" s="154"/>
      <c r="J100" s="154"/>
    </row>
    <row r="101" ht="15.75" customHeight="1">
      <c r="D101" s="128"/>
      <c r="G101" s="153"/>
      <c r="H101" s="154"/>
      <c r="I101" s="154"/>
      <c r="J101" s="154"/>
    </row>
    <row r="102" ht="15.75" customHeight="1">
      <c r="D102" s="128"/>
      <c r="G102" s="153"/>
      <c r="H102" s="154"/>
      <c r="I102" s="154"/>
      <c r="J102" s="154"/>
    </row>
    <row r="103" ht="15.75" customHeight="1">
      <c r="D103" s="128"/>
      <c r="G103" s="153"/>
      <c r="H103" s="154"/>
      <c r="I103" s="154"/>
      <c r="J103" s="154"/>
    </row>
    <row r="104" ht="15.75" customHeight="1">
      <c r="D104" s="128"/>
      <c r="G104" s="153"/>
      <c r="H104" s="154"/>
      <c r="I104" s="154"/>
      <c r="J104" s="154"/>
    </row>
    <row r="105" ht="15.75" customHeight="1">
      <c r="D105" s="128"/>
      <c r="G105" s="153"/>
      <c r="H105" s="154"/>
      <c r="I105" s="154"/>
      <c r="J105" s="154"/>
    </row>
    <row r="106" ht="15.75" customHeight="1">
      <c r="D106" s="128"/>
      <c r="G106" s="153"/>
      <c r="H106" s="154"/>
      <c r="I106" s="154"/>
      <c r="J106" s="154"/>
    </row>
    <row r="107" ht="15.75" customHeight="1">
      <c r="D107" s="128"/>
      <c r="G107" s="153"/>
      <c r="H107" s="154"/>
      <c r="I107" s="154"/>
      <c r="J107" s="154"/>
    </row>
    <row r="108" ht="15.75" customHeight="1">
      <c r="D108" s="128"/>
      <c r="G108" s="153"/>
      <c r="H108" s="154"/>
      <c r="I108" s="154"/>
      <c r="J108" s="154"/>
    </row>
    <row r="109" ht="15.75" customHeight="1">
      <c r="D109" s="128"/>
      <c r="G109" s="153"/>
      <c r="H109" s="154"/>
      <c r="I109" s="154"/>
      <c r="J109" s="154"/>
    </row>
    <row r="110" ht="15.75" customHeight="1">
      <c r="D110" s="128"/>
      <c r="G110" s="153"/>
      <c r="H110" s="154"/>
      <c r="I110" s="154"/>
      <c r="J110" s="154"/>
    </row>
    <row r="111" ht="15.75" customHeight="1">
      <c r="D111" s="128"/>
      <c r="G111" s="153"/>
      <c r="H111" s="154"/>
      <c r="I111" s="154"/>
      <c r="J111" s="154"/>
    </row>
    <row r="112" ht="15.75" customHeight="1">
      <c r="D112" s="128"/>
      <c r="G112" s="153"/>
      <c r="H112" s="154"/>
      <c r="I112" s="154"/>
      <c r="J112" s="154"/>
    </row>
    <row r="113" ht="15.75" customHeight="1">
      <c r="D113" s="128"/>
      <c r="G113" s="153"/>
      <c r="H113" s="154"/>
      <c r="I113" s="154"/>
      <c r="J113" s="154"/>
    </row>
    <row r="114" ht="15.75" customHeight="1">
      <c r="D114" s="128"/>
      <c r="G114" s="153"/>
      <c r="H114" s="154"/>
      <c r="I114" s="154"/>
      <c r="J114" s="154"/>
    </row>
    <row r="115" ht="15.75" customHeight="1">
      <c r="D115" s="128"/>
      <c r="G115" s="153"/>
      <c r="H115" s="154"/>
      <c r="I115" s="154"/>
      <c r="J115" s="154"/>
    </row>
    <row r="116" ht="15.75" customHeight="1">
      <c r="D116" s="128"/>
      <c r="G116" s="153"/>
      <c r="H116" s="154"/>
      <c r="I116" s="154"/>
      <c r="J116" s="154"/>
    </row>
    <row r="117" ht="15.75" customHeight="1">
      <c r="D117" s="128"/>
      <c r="G117" s="153"/>
      <c r="H117" s="154"/>
      <c r="I117" s="154"/>
      <c r="J117" s="154"/>
    </row>
    <row r="118" ht="15.75" customHeight="1">
      <c r="D118" s="128"/>
      <c r="G118" s="153"/>
      <c r="H118" s="154"/>
      <c r="I118" s="154"/>
      <c r="J118" s="154"/>
    </row>
    <row r="119" ht="15.75" customHeight="1">
      <c r="D119" s="128"/>
      <c r="G119" s="153"/>
      <c r="H119" s="154"/>
      <c r="I119" s="154"/>
      <c r="J119" s="154"/>
    </row>
    <row r="120" ht="15.75" customHeight="1">
      <c r="D120" s="128"/>
      <c r="G120" s="153"/>
      <c r="H120" s="154"/>
      <c r="I120" s="154"/>
      <c r="J120" s="154"/>
    </row>
    <row r="121" ht="15.75" customHeight="1">
      <c r="D121" s="128"/>
      <c r="G121" s="153"/>
      <c r="H121" s="154"/>
      <c r="I121" s="154"/>
      <c r="J121" s="154"/>
    </row>
    <row r="122" ht="15.75" customHeight="1">
      <c r="D122" s="128"/>
      <c r="G122" s="153"/>
      <c r="H122" s="154"/>
      <c r="I122" s="154"/>
      <c r="J122" s="154"/>
    </row>
    <row r="123" ht="15.75" customHeight="1">
      <c r="D123" s="128"/>
      <c r="G123" s="153"/>
      <c r="H123" s="154"/>
      <c r="I123" s="154"/>
      <c r="J123" s="154"/>
    </row>
    <row r="124" ht="15.75" customHeight="1">
      <c r="D124" s="128"/>
      <c r="G124" s="153"/>
      <c r="H124" s="154"/>
      <c r="I124" s="154"/>
      <c r="J124" s="154"/>
    </row>
    <row r="125" ht="15.75" customHeight="1">
      <c r="D125" s="128"/>
      <c r="G125" s="153"/>
      <c r="H125" s="154"/>
      <c r="I125" s="154"/>
      <c r="J125" s="154"/>
    </row>
    <row r="126" ht="15.75" customHeight="1">
      <c r="D126" s="128"/>
      <c r="G126" s="153"/>
      <c r="H126" s="154"/>
      <c r="I126" s="154"/>
      <c r="J126" s="154"/>
    </row>
    <row r="127" ht="15.75" customHeight="1">
      <c r="D127" s="128"/>
      <c r="G127" s="153"/>
      <c r="H127" s="154"/>
      <c r="I127" s="154"/>
      <c r="J127" s="154"/>
    </row>
    <row r="128" ht="15.75" customHeight="1">
      <c r="D128" s="128"/>
      <c r="G128" s="153"/>
      <c r="H128" s="154"/>
      <c r="I128" s="154"/>
      <c r="J128" s="154"/>
    </row>
    <row r="129" ht="15.75" customHeight="1">
      <c r="D129" s="128"/>
      <c r="G129" s="153"/>
      <c r="H129" s="154"/>
      <c r="I129" s="154"/>
      <c r="J129" s="154"/>
    </row>
    <row r="130" ht="15.75" customHeight="1">
      <c r="D130" s="128"/>
      <c r="G130" s="153"/>
      <c r="H130" s="154"/>
      <c r="I130" s="154"/>
      <c r="J130" s="154"/>
    </row>
    <row r="131" ht="15.75" customHeight="1">
      <c r="D131" s="128"/>
      <c r="G131" s="153"/>
      <c r="H131" s="154"/>
      <c r="I131" s="154"/>
      <c r="J131" s="154"/>
    </row>
    <row r="132" ht="15.75" customHeight="1">
      <c r="D132" s="128"/>
      <c r="G132" s="153"/>
      <c r="H132" s="154"/>
      <c r="I132" s="154"/>
      <c r="J132" s="154"/>
    </row>
    <row r="133" ht="15.75" customHeight="1">
      <c r="D133" s="128"/>
      <c r="G133" s="153"/>
      <c r="H133" s="154"/>
      <c r="I133" s="154"/>
      <c r="J133" s="154"/>
    </row>
    <row r="134" ht="15.75" customHeight="1">
      <c r="D134" s="128"/>
      <c r="G134" s="153"/>
      <c r="H134" s="154"/>
      <c r="I134" s="154"/>
      <c r="J134" s="154"/>
    </row>
    <row r="135" ht="15.75" customHeight="1">
      <c r="D135" s="128"/>
      <c r="G135" s="153"/>
      <c r="H135" s="154"/>
      <c r="I135" s="154"/>
      <c r="J135" s="154"/>
    </row>
    <row r="136" ht="15.75" customHeight="1">
      <c r="D136" s="128"/>
      <c r="G136" s="153"/>
      <c r="H136" s="154"/>
      <c r="I136" s="154"/>
      <c r="J136" s="154"/>
    </row>
    <row r="137" ht="15.75" customHeight="1">
      <c r="D137" s="128"/>
      <c r="G137" s="153"/>
      <c r="H137" s="154"/>
      <c r="I137" s="154"/>
      <c r="J137" s="154"/>
    </row>
    <row r="138" ht="15.75" customHeight="1">
      <c r="D138" s="128"/>
      <c r="G138" s="153"/>
      <c r="H138" s="154"/>
      <c r="I138" s="154"/>
      <c r="J138" s="154"/>
    </row>
    <row r="139" ht="15.75" customHeight="1">
      <c r="D139" s="128"/>
      <c r="G139" s="153"/>
      <c r="H139" s="154"/>
      <c r="I139" s="154"/>
      <c r="J139" s="154"/>
    </row>
    <row r="140" ht="15.75" customHeight="1">
      <c r="D140" s="128"/>
      <c r="G140" s="153"/>
      <c r="H140" s="154"/>
      <c r="I140" s="154"/>
      <c r="J140" s="154"/>
    </row>
    <row r="141" ht="15.75" customHeight="1">
      <c r="D141" s="128"/>
      <c r="G141" s="153"/>
      <c r="H141" s="154"/>
      <c r="I141" s="154"/>
      <c r="J141" s="154"/>
    </row>
    <row r="142" ht="15.75" customHeight="1">
      <c r="D142" s="128"/>
      <c r="G142" s="153"/>
      <c r="H142" s="154"/>
      <c r="I142" s="154"/>
      <c r="J142" s="154"/>
    </row>
    <row r="143" ht="15.75" customHeight="1">
      <c r="D143" s="128"/>
      <c r="G143" s="153"/>
      <c r="H143" s="154"/>
      <c r="I143" s="154"/>
      <c r="J143" s="154"/>
    </row>
    <row r="144" ht="15.75" customHeight="1">
      <c r="D144" s="128"/>
      <c r="G144" s="153"/>
      <c r="H144" s="154"/>
      <c r="I144" s="154"/>
      <c r="J144" s="154"/>
    </row>
    <row r="145" ht="15.75" customHeight="1">
      <c r="D145" s="128"/>
      <c r="G145" s="153"/>
      <c r="H145" s="154"/>
      <c r="I145" s="154"/>
      <c r="J145" s="154"/>
    </row>
    <row r="146" ht="15.75" customHeight="1">
      <c r="D146" s="128"/>
      <c r="G146" s="153"/>
      <c r="H146" s="154"/>
      <c r="I146" s="154"/>
      <c r="J146" s="154"/>
    </row>
    <row r="147" ht="15.75" customHeight="1">
      <c r="D147" s="128"/>
      <c r="G147" s="153"/>
      <c r="H147" s="154"/>
      <c r="I147" s="154"/>
      <c r="J147" s="154"/>
    </row>
    <row r="148" ht="15.75" customHeight="1">
      <c r="D148" s="128"/>
      <c r="G148" s="153"/>
      <c r="H148" s="154"/>
      <c r="I148" s="154"/>
      <c r="J148" s="154"/>
    </row>
    <row r="149" ht="15.75" customHeight="1">
      <c r="D149" s="128"/>
      <c r="G149" s="153"/>
      <c r="H149" s="154"/>
      <c r="I149" s="154"/>
      <c r="J149" s="154"/>
    </row>
    <row r="150" ht="15.75" customHeight="1">
      <c r="D150" s="128"/>
      <c r="G150" s="153"/>
      <c r="H150" s="154"/>
      <c r="I150" s="154"/>
      <c r="J150" s="154"/>
    </row>
    <row r="151" ht="15.75" customHeight="1">
      <c r="D151" s="128"/>
      <c r="G151" s="153"/>
      <c r="H151" s="154"/>
      <c r="I151" s="154"/>
      <c r="J151" s="154"/>
    </row>
    <row r="152" ht="15.75" customHeight="1">
      <c r="D152" s="128"/>
      <c r="G152" s="153"/>
      <c r="H152" s="154"/>
      <c r="I152" s="154"/>
      <c r="J152" s="154"/>
    </row>
    <row r="153" ht="15.75" customHeight="1">
      <c r="D153" s="128"/>
      <c r="G153" s="153"/>
      <c r="H153" s="154"/>
      <c r="I153" s="154"/>
      <c r="J153" s="154"/>
    </row>
    <row r="154" ht="15.75" customHeight="1">
      <c r="D154" s="128"/>
      <c r="G154" s="153"/>
      <c r="H154" s="154"/>
      <c r="I154" s="154"/>
      <c r="J154" s="154"/>
    </row>
    <row r="155" ht="15.75" customHeight="1">
      <c r="D155" s="128"/>
      <c r="G155" s="153"/>
      <c r="H155" s="154"/>
      <c r="I155" s="154"/>
      <c r="J155" s="154"/>
    </row>
    <row r="156" ht="15.75" customHeight="1">
      <c r="D156" s="128"/>
      <c r="G156" s="153"/>
      <c r="H156" s="154"/>
      <c r="I156" s="154"/>
      <c r="J156" s="154"/>
    </row>
    <row r="157" ht="15.75" customHeight="1">
      <c r="D157" s="128"/>
      <c r="G157" s="153"/>
      <c r="H157" s="154"/>
      <c r="I157" s="154"/>
      <c r="J157" s="154"/>
    </row>
    <row r="158" ht="15.75" customHeight="1">
      <c r="D158" s="128"/>
      <c r="G158" s="153"/>
      <c r="H158" s="154"/>
      <c r="I158" s="154"/>
      <c r="J158" s="154"/>
    </row>
    <row r="159" ht="15.75" customHeight="1">
      <c r="D159" s="128"/>
      <c r="G159" s="153"/>
      <c r="H159" s="154"/>
      <c r="I159" s="154"/>
      <c r="J159" s="154"/>
    </row>
    <row r="160" ht="15.75" customHeight="1">
      <c r="D160" s="128"/>
      <c r="G160" s="153"/>
      <c r="H160" s="154"/>
      <c r="I160" s="154"/>
      <c r="J160" s="154"/>
    </row>
    <row r="161" ht="15.75" customHeight="1">
      <c r="D161" s="128"/>
      <c r="G161" s="153"/>
      <c r="H161" s="154"/>
      <c r="I161" s="154"/>
      <c r="J161" s="154"/>
    </row>
    <row r="162" ht="15.75" customHeight="1">
      <c r="D162" s="128"/>
      <c r="G162" s="153"/>
      <c r="H162" s="154"/>
      <c r="I162" s="154"/>
      <c r="J162" s="154"/>
    </row>
    <row r="163" ht="15.75" customHeight="1">
      <c r="D163" s="128"/>
      <c r="G163" s="153"/>
      <c r="H163" s="154"/>
      <c r="I163" s="154"/>
      <c r="J163" s="154"/>
    </row>
    <row r="164" ht="15.75" customHeight="1">
      <c r="D164" s="128"/>
      <c r="G164" s="153"/>
      <c r="H164" s="154"/>
      <c r="I164" s="154"/>
      <c r="J164" s="154"/>
    </row>
    <row r="165" ht="15.75" customHeight="1">
      <c r="D165" s="128"/>
      <c r="G165" s="153"/>
      <c r="H165" s="154"/>
      <c r="I165" s="154"/>
      <c r="J165" s="154"/>
    </row>
    <row r="166" ht="15.75" customHeight="1">
      <c r="D166" s="128"/>
      <c r="G166" s="153"/>
      <c r="H166" s="154"/>
      <c r="I166" s="154"/>
      <c r="J166" s="154"/>
    </row>
    <row r="167" ht="15.75" customHeight="1">
      <c r="D167" s="128"/>
      <c r="G167" s="153"/>
      <c r="H167" s="154"/>
      <c r="I167" s="154"/>
      <c r="J167" s="154"/>
    </row>
    <row r="168" ht="15.75" customHeight="1">
      <c r="D168" s="128"/>
      <c r="G168" s="153"/>
      <c r="H168" s="154"/>
      <c r="I168" s="154"/>
      <c r="J168" s="154"/>
    </row>
    <row r="169" ht="15.75" customHeight="1">
      <c r="D169" s="128"/>
      <c r="G169" s="153"/>
      <c r="H169" s="154"/>
      <c r="I169" s="154"/>
      <c r="J169" s="154"/>
    </row>
    <row r="170" ht="15.75" customHeight="1">
      <c r="D170" s="128"/>
      <c r="G170" s="153"/>
      <c r="H170" s="154"/>
      <c r="I170" s="154"/>
      <c r="J170" s="154"/>
    </row>
    <row r="171" ht="15.75" customHeight="1">
      <c r="D171" s="128"/>
      <c r="G171" s="153"/>
      <c r="H171" s="154"/>
      <c r="I171" s="154"/>
      <c r="J171" s="154"/>
    </row>
    <row r="172" ht="15.75" customHeight="1">
      <c r="D172" s="128"/>
      <c r="G172" s="153"/>
      <c r="H172" s="154"/>
      <c r="I172" s="154"/>
      <c r="J172" s="154"/>
    </row>
    <row r="173" ht="15.75" customHeight="1">
      <c r="D173" s="128"/>
      <c r="G173" s="153"/>
      <c r="H173" s="154"/>
      <c r="I173" s="154"/>
      <c r="J173" s="154"/>
    </row>
    <row r="174" ht="15.75" customHeight="1">
      <c r="D174" s="128"/>
      <c r="G174" s="153"/>
      <c r="H174" s="154"/>
      <c r="I174" s="154"/>
      <c r="J174" s="154"/>
    </row>
    <row r="175" ht="15.75" customHeight="1">
      <c r="D175" s="128"/>
      <c r="G175" s="153"/>
      <c r="H175" s="154"/>
      <c r="I175" s="154"/>
      <c r="J175" s="154"/>
    </row>
    <row r="176" ht="15.75" customHeight="1">
      <c r="D176" s="128"/>
      <c r="G176" s="153"/>
      <c r="H176" s="154"/>
      <c r="I176" s="154"/>
      <c r="J176" s="154"/>
    </row>
    <row r="177" ht="15.75" customHeight="1">
      <c r="D177" s="128"/>
      <c r="G177" s="153"/>
      <c r="H177" s="154"/>
      <c r="I177" s="154"/>
      <c r="J177" s="154"/>
    </row>
    <row r="178" ht="15.75" customHeight="1">
      <c r="D178" s="128"/>
      <c r="G178" s="153"/>
      <c r="H178" s="154"/>
      <c r="I178" s="154"/>
      <c r="J178" s="154"/>
    </row>
    <row r="179" ht="15.75" customHeight="1">
      <c r="D179" s="128"/>
      <c r="G179" s="153"/>
      <c r="H179" s="154"/>
      <c r="I179" s="154"/>
      <c r="J179" s="154"/>
    </row>
    <row r="180" ht="15.75" customHeight="1">
      <c r="D180" s="128"/>
      <c r="G180" s="153"/>
      <c r="H180" s="154"/>
      <c r="I180" s="154"/>
      <c r="J180" s="154"/>
    </row>
    <row r="181" ht="15.75" customHeight="1">
      <c r="D181" s="128"/>
      <c r="G181" s="153"/>
      <c r="H181" s="154"/>
      <c r="I181" s="154"/>
      <c r="J181" s="154"/>
    </row>
    <row r="182" ht="15.75" customHeight="1">
      <c r="D182" s="128"/>
      <c r="G182" s="153"/>
      <c r="H182" s="154"/>
      <c r="I182" s="154"/>
      <c r="J182" s="154"/>
    </row>
    <row r="183" ht="15.75" customHeight="1">
      <c r="D183" s="128"/>
      <c r="G183" s="153"/>
      <c r="H183" s="154"/>
      <c r="I183" s="154"/>
      <c r="J183" s="154"/>
    </row>
    <row r="184" ht="15.75" customHeight="1">
      <c r="D184" s="128"/>
      <c r="G184" s="153"/>
      <c r="H184" s="154"/>
      <c r="I184" s="154"/>
      <c r="J184" s="154"/>
    </row>
    <row r="185" ht="15.75" customHeight="1">
      <c r="D185" s="128"/>
      <c r="G185" s="153"/>
      <c r="H185" s="154"/>
      <c r="I185" s="154"/>
      <c r="J185" s="154"/>
    </row>
    <row r="186" ht="15.75" customHeight="1">
      <c r="D186" s="128"/>
      <c r="G186" s="153"/>
      <c r="H186" s="154"/>
      <c r="I186" s="154"/>
      <c r="J186" s="154"/>
    </row>
    <row r="187" ht="15.75" customHeight="1">
      <c r="D187" s="128"/>
      <c r="G187" s="153"/>
      <c r="H187" s="154"/>
      <c r="I187" s="154"/>
      <c r="J187" s="154"/>
    </row>
    <row r="188" ht="15.75" customHeight="1">
      <c r="D188" s="128"/>
      <c r="G188" s="153"/>
      <c r="H188" s="154"/>
      <c r="I188" s="154"/>
      <c r="J188" s="154"/>
    </row>
    <row r="189" ht="15.75" customHeight="1">
      <c r="D189" s="128"/>
      <c r="G189" s="153"/>
      <c r="H189" s="154"/>
      <c r="I189" s="154"/>
      <c r="J189" s="154"/>
    </row>
    <row r="190" ht="15.75" customHeight="1">
      <c r="D190" s="128"/>
      <c r="G190" s="153"/>
      <c r="H190" s="154"/>
      <c r="I190" s="154"/>
      <c r="J190" s="154"/>
    </row>
    <row r="191" ht="15.75" customHeight="1">
      <c r="D191" s="128"/>
      <c r="G191" s="153"/>
      <c r="H191" s="154"/>
      <c r="I191" s="154"/>
      <c r="J191" s="154"/>
    </row>
    <row r="192" ht="15.75" customHeight="1">
      <c r="D192" s="128"/>
      <c r="G192" s="153"/>
      <c r="H192" s="154"/>
      <c r="I192" s="154"/>
      <c r="J192" s="154"/>
    </row>
    <row r="193" ht="15.75" customHeight="1">
      <c r="D193" s="128"/>
      <c r="G193" s="153"/>
      <c r="H193" s="154"/>
      <c r="I193" s="154"/>
      <c r="J193" s="154"/>
    </row>
    <row r="194" ht="15.75" customHeight="1">
      <c r="D194" s="128"/>
      <c r="G194" s="153"/>
      <c r="H194" s="154"/>
      <c r="I194" s="154"/>
      <c r="J194" s="154"/>
    </row>
    <row r="195" ht="15.75" customHeight="1">
      <c r="D195" s="128"/>
      <c r="G195" s="153"/>
      <c r="H195" s="154"/>
      <c r="I195" s="154"/>
      <c r="J195" s="154"/>
    </row>
    <row r="196" ht="15.75" customHeight="1">
      <c r="D196" s="128"/>
      <c r="G196" s="153"/>
      <c r="H196" s="154"/>
      <c r="I196" s="154"/>
      <c r="J196" s="154"/>
    </row>
    <row r="197" ht="15.75" customHeight="1">
      <c r="D197" s="128"/>
      <c r="G197" s="153"/>
      <c r="H197" s="154"/>
      <c r="I197" s="154"/>
      <c r="J197" s="154"/>
    </row>
    <row r="198" ht="15.75" customHeight="1">
      <c r="D198" s="128"/>
      <c r="G198" s="153"/>
      <c r="H198" s="154"/>
      <c r="I198" s="154"/>
      <c r="J198" s="154"/>
    </row>
    <row r="199" ht="15.75" customHeight="1">
      <c r="D199" s="128"/>
      <c r="G199" s="153"/>
      <c r="H199" s="154"/>
      <c r="I199" s="154"/>
      <c r="J199" s="154"/>
    </row>
    <row r="200" ht="15.75" customHeight="1">
      <c r="D200" s="128"/>
      <c r="G200" s="153"/>
      <c r="H200" s="154"/>
      <c r="I200" s="154"/>
      <c r="J200" s="154"/>
    </row>
    <row r="201" ht="15.75" customHeight="1">
      <c r="D201" s="128"/>
      <c r="G201" s="153"/>
      <c r="H201" s="154"/>
      <c r="I201" s="154"/>
      <c r="J201" s="154"/>
    </row>
    <row r="202" ht="15.75" customHeight="1">
      <c r="D202" s="128"/>
      <c r="G202" s="153"/>
      <c r="H202" s="154"/>
      <c r="I202" s="154"/>
      <c r="J202" s="154"/>
    </row>
    <row r="203" ht="15.75" customHeight="1">
      <c r="D203" s="128"/>
      <c r="G203" s="153"/>
      <c r="H203" s="154"/>
      <c r="I203" s="154"/>
      <c r="J203" s="154"/>
    </row>
    <row r="204" ht="15.75" customHeight="1">
      <c r="D204" s="128"/>
      <c r="G204" s="153"/>
      <c r="H204" s="154"/>
      <c r="I204" s="154"/>
      <c r="J204" s="154"/>
    </row>
    <row r="205" ht="15.75" customHeight="1">
      <c r="D205" s="128"/>
      <c r="G205" s="153"/>
      <c r="H205" s="154"/>
      <c r="I205" s="154"/>
      <c r="J205" s="154"/>
    </row>
    <row r="206" ht="15.75" customHeight="1">
      <c r="D206" s="128"/>
      <c r="G206" s="153"/>
      <c r="H206" s="154"/>
      <c r="I206" s="154"/>
      <c r="J206" s="154"/>
    </row>
    <row r="207" ht="15.75" customHeight="1">
      <c r="D207" s="128"/>
      <c r="G207" s="153"/>
      <c r="H207" s="154"/>
      <c r="I207" s="154"/>
      <c r="J207" s="154"/>
    </row>
    <row r="208" ht="15.75" customHeight="1">
      <c r="D208" s="128"/>
      <c r="G208" s="153"/>
      <c r="H208" s="154"/>
      <c r="I208" s="154"/>
      <c r="J208" s="154"/>
    </row>
    <row r="209" ht="15.75" customHeight="1">
      <c r="D209" s="128"/>
      <c r="G209" s="153"/>
      <c r="H209" s="154"/>
      <c r="I209" s="154"/>
      <c r="J209" s="154"/>
    </row>
    <row r="210" ht="15.75" customHeight="1">
      <c r="D210" s="128"/>
      <c r="G210" s="153"/>
      <c r="H210" s="154"/>
      <c r="I210" s="154"/>
      <c r="J210" s="154"/>
    </row>
    <row r="211" ht="15.75" customHeight="1">
      <c r="D211" s="128"/>
      <c r="G211" s="153"/>
      <c r="H211" s="154"/>
      <c r="I211" s="154"/>
      <c r="J211" s="154"/>
    </row>
    <row r="212" ht="15.75" customHeight="1">
      <c r="D212" s="128"/>
      <c r="G212" s="153"/>
      <c r="H212" s="154"/>
      <c r="I212" s="154"/>
      <c r="J212" s="154"/>
    </row>
    <row r="213" ht="15.75" customHeight="1">
      <c r="D213" s="128"/>
      <c r="G213" s="153"/>
      <c r="H213" s="154"/>
      <c r="I213" s="154"/>
      <c r="J213" s="154"/>
    </row>
    <row r="214" ht="15.75" customHeight="1">
      <c r="D214" s="128"/>
      <c r="G214" s="153"/>
      <c r="H214" s="154"/>
      <c r="I214" s="154"/>
      <c r="J214" s="154"/>
    </row>
    <row r="215" ht="15.75" customHeight="1">
      <c r="D215" s="128"/>
      <c r="G215" s="153"/>
      <c r="H215" s="154"/>
      <c r="I215" s="154"/>
      <c r="J215" s="154"/>
    </row>
    <row r="216" ht="15.75" customHeight="1">
      <c r="D216" s="128"/>
      <c r="G216" s="153"/>
      <c r="H216" s="154"/>
      <c r="I216" s="154"/>
      <c r="J216" s="154"/>
    </row>
    <row r="217" ht="15.75" customHeight="1">
      <c r="D217" s="128"/>
      <c r="G217" s="153"/>
      <c r="H217" s="154"/>
      <c r="I217" s="154"/>
      <c r="J217" s="154"/>
    </row>
    <row r="218" ht="15.75" customHeight="1">
      <c r="D218" s="128"/>
      <c r="G218" s="153"/>
      <c r="H218" s="154"/>
      <c r="I218" s="154"/>
      <c r="J218" s="154"/>
    </row>
    <row r="219" ht="15.75" customHeight="1">
      <c r="D219" s="128"/>
      <c r="G219" s="153"/>
      <c r="H219" s="154"/>
      <c r="I219" s="154"/>
      <c r="J219" s="154"/>
    </row>
    <row r="220" ht="15.75" customHeight="1">
      <c r="D220" s="128"/>
      <c r="G220" s="153"/>
      <c r="H220" s="154"/>
      <c r="I220" s="154"/>
      <c r="J220" s="154"/>
    </row>
    <row r="221" ht="15.75" customHeight="1">
      <c r="D221" s="128"/>
      <c r="G221" s="153"/>
      <c r="H221" s="154"/>
      <c r="I221" s="154"/>
      <c r="J221" s="154"/>
    </row>
    <row r="222" ht="15.75" customHeight="1">
      <c r="D222" s="128"/>
      <c r="G222" s="153"/>
      <c r="H222" s="154"/>
      <c r="I222" s="154"/>
      <c r="J222" s="154"/>
    </row>
    <row r="223" ht="15.75" customHeight="1">
      <c r="D223" s="128"/>
      <c r="G223" s="153"/>
      <c r="H223" s="154"/>
      <c r="I223" s="154"/>
      <c r="J223" s="154"/>
    </row>
    <row r="224" ht="15.75" customHeight="1">
      <c r="D224" s="128"/>
      <c r="G224" s="153"/>
      <c r="H224" s="154"/>
      <c r="I224" s="154"/>
      <c r="J224" s="154"/>
    </row>
    <row r="225" ht="15.75" customHeight="1">
      <c r="D225" s="128"/>
      <c r="G225" s="153"/>
      <c r="H225" s="154"/>
      <c r="I225" s="154"/>
      <c r="J225" s="154"/>
    </row>
    <row r="226" ht="15.75" customHeight="1">
      <c r="D226" s="128"/>
      <c r="G226" s="153"/>
      <c r="H226" s="154"/>
      <c r="I226" s="154"/>
      <c r="J226" s="154"/>
    </row>
    <row r="227" ht="15.75" customHeight="1">
      <c r="D227" s="128"/>
      <c r="G227" s="153"/>
      <c r="H227" s="154"/>
      <c r="I227" s="154"/>
      <c r="J227" s="154"/>
    </row>
    <row r="228" ht="15.75" customHeight="1">
      <c r="D228" s="128"/>
      <c r="G228" s="153"/>
      <c r="H228" s="154"/>
      <c r="I228" s="154"/>
      <c r="J228" s="154"/>
    </row>
    <row r="229" ht="15.75" customHeight="1">
      <c r="D229" s="128"/>
      <c r="G229" s="153"/>
      <c r="H229" s="154"/>
      <c r="I229" s="154"/>
      <c r="J229" s="154"/>
    </row>
    <row r="230" ht="15.75" customHeight="1">
      <c r="D230" s="128"/>
      <c r="G230" s="153"/>
      <c r="H230" s="154"/>
      <c r="I230" s="154"/>
      <c r="J230" s="154"/>
    </row>
    <row r="231" ht="15.75" customHeight="1">
      <c r="D231" s="128"/>
      <c r="G231" s="153"/>
      <c r="H231" s="154"/>
      <c r="I231" s="154"/>
      <c r="J231" s="154"/>
    </row>
    <row r="232" ht="15.75" customHeight="1">
      <c r="D232" s="128"/>
      <c r="G232" s="153"/>
      <c r="H232" s="154"/>
      <c r="I232" s="154"/>
      <c r="J232" s="154"/>
    </row>
    <row r="233" ht="15.75" customHeight="1">
      <c r="D233" s="128"/>
      <c r="G233" s="153"/>
      <c r="H233" s="154"/>
      <c r="I233" s="154"/>
      <c r="J233" s="154"/>
    </row>
    <row r="234" ht="15.75" customHeight="1">
      <c r="D234" s="128"/>
      <c r="G234" s="153"/>
      <c r="H234" s="154"/>
      <c r="I234" s="154"/>
      <c r="J234" s="154"/>
    </row>
    <row r="235" ht="15.75" customHeight="1">
      <c r="D235" s="128"/>
      <c r="G235" s="153"/>
      <c r="H235" s="154"/>
      <c r="I235" s="154"/>
      <c r="J235" s="154"/>
    </row>
    <row r="236" ht="15.75" customHeight="1">
      <c r="D236" s="128"/>
      <c r="G236" s="153"/>
      <c r="H236" s="154"/>
      <c r="I236" s="154"/>
      <c r="J236" s="154"/>
    </row>
    <row r="237" ht="15.75" customHeight="1">
      <c r="D237" s="128"/>
      <c r="G237" s="153"/>
      <c r="H237" s="154"/>
      <c r="I237" s="154"/>
      <c r="J237" s="154"/>
    </row>
    <row r="238" ht="15.75" customHeight="1">
      <c r="D238" s="128"/>
      <c r="G238" s="153"/>
      <c r="H238" s="154"/>
      <c r="I238" s="154"/>
      <c r="J238" s="154"/>
    </row>
    <row r="239" ht="15.75" customHeight="1">
      <c r="D239" s="128"/>
      <c r="G239" s="153"/>
      <c r="H239" s="154"/>
      <c r="I239" s="154"/>
      <c r="J239" s="154"/>
    </row>
    <row r="240" ht="15.75" customHeight="1">
      <c r="D240" s="128"/>
      <c r="G240" s="153"/>
      <c r="H240" s="154"/>
      <c r="I240" s="154"/>
      <c r="J240" s="154"/>
    </row>
    <row r="241" ht="15.75" customHeight="1">
      <c r="D241" s="128"/>
      <c r="G241" s="153"/>
      <c r="H241" s="154"/>
      <c r="I241" s="154"/>
      <c r="J241" s="154"/>
    </row>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2:$AL$21"/>
  <mergeCells count="3">
    <mergeCell ref="B1:K1"/>
    <mergeCell ref="A34:B34"/>
    <mergeCell ref="A35:B35"/>
  </mergeCells>
  <conditionalFormatting sqref="A36:A41">
    <cfRule type="beginsWith" dxfId="0" priority="1" operator="beginsWith" text="P">
      <formula>LEFT((A36),LEN("P"))=("P")</formula>
    </cfRule>
  </conditionalFormatting>
  <conditionalFormatting sqref="A36:A41">
    <cfRule type="containsText" dxfId="1" priority="2" operator="containsText" text="N-P">
      <formula>NOT(ISERROR(SEARCH(("N-P"),(A36))))</formula>
    </cfRule>
  </conditionalFormatting>
  <conditionalFormatting sqref="A36:A41">
    <cfRule type="containsText" dxfId="2" priority="3" operator="containsText" text="R">
      <formula>NOT(ISERROR(SEARCH(("R"),(A36))))</formula>
    </cfRule>
  </conditionalFormatting>
  <conditionalFormatting sqref="A36:A41">
    <cfRule type="containsText" dxfId="3" priority="4" operator="containsText" text="A-S">
      <formula>NOT(ISERROR(SEARCH(("A-S"),(A36))))</formula>
    </cfRule>
  </conditionalFormatting>
  <conditionalFormatting sqref="A36:A41">
    <cfRule type="beginsWith" dxfId="4" priority="5" operator="beginsWith" text="S">
      <formula>LEFT((A36),LEN("S"))=("S")</formula>
    </cfRule>
  </conditionalFormatting>
  <conditionalFormatting sqref="D3:D25">
    <cfRule type="beginsWith" dxfId="0" priority="6" operator="beginsWith" text="P">
      <formula>LEFT((D3),LEN("P"))=("P")</formula>
    </cfRule>
  </conditionalFormatting>
  <conditionalFormatting sqref="D3:D25">
    <cfRule type="containsText" dxfId="1" priority="7" operator="containsText" text="N-P">
      <formula>NOT(ISERROR(SEARCH(("N-P"),(D3))))</formula>
    </cfRule>
  </conditionalFormatting>
  <conditionalFormatting sqref="D3:D25">
    <cfRule type="containsText" dxfId="2" priority="8" operator="containsText" text="R">
      <formula>NOT(ISERROR(SEARCH(("R"),(D3))))</formula>
    </cfRule>
  </conditionalFormatting>
  <conditionalFormatting sqref="D3:D25">
    <cfRule type="containsText" dxfId="3" priority="9" operator="containsText" text="A-S">
      <formula>NOT(ISERROR(SEARCH(("A-S"),(D3))))</formula>
    </cfRule>
  </conditionalFormatting>
  <conditionalFormatting sqref="D3:D25">
    <cfRule type="beginsWith" dxfId="4" priority="10" operator="beginsWith" text="S">
      <formula>LEFT((D3),LEN("S"))=("S")</formula>
    </cfRule>
  </conditionalFormatting>
  <conditionalFormatting sqref="I3 I7 I9:I12 I15:I19">
    <cfRule type="cellIs" dxfId="5" priority="11" operator="lessThan">
      <formula>45698</formula>
    </cfRule>
  </conditionalFormatting>
  <dataValidations>
    <dataValidation type="list" allowBlank="1" showErrorMessage="1" sqref="D3:D25">
      <formula1>'17025 SAL'!$A$207:$A$212</formula1>
    </dataValidation>
  </dataValidations>
  <hyperlinks>
    <hyperlink r:id="rId4" ref="M3"/>
    <hyperlink r:id="rId5" ref="N3"/>
    <hyperlink r:id="rId6" ref="M7"/>
    <hyperlink r:id="rId7" ref="M8"/>
    <hyperlink r:id="rId8" ref="N8"/>
    <hyperlink r:id="rId9" ref="M9"/>
    <hyperlink r:id="rId10" ref="U9"/>
    <hyperlink r:id="rId11" ref="M10"/>
    <hyperlink r:id="rId12" ref="U10"/>
    <hyperlink r:id="rId13" ref="M11"/>
    <hyperlink r:id="rId14" ref="AI11"/>
    <hyperlink r:id="rId15" ref="M12"/>
    <hyperlink r:id="rId16" ref="N12"/>
    <hyperlink r:id="rId17" ref="U12"/>
    <hyperlink r:id="rId18" ref="M13"/>
    <hyperlink r:id="rId19" ref="N13"/>
    <hyperlink r:id="rId20" ref="U13"/>
    <hyperlink r:id="rId21" ref="AI13"/>
    <hyperlink r:id="rId22" ref="M14"/>
    <hyperlink r:id="rId23" ref="N14"/>
    <hyperlink r:id="rId24" ref="U14"/>
    <hyperlink r:id="rId25" ref="M15"/>
    <hyperlink r:id="rId26" ref="M16"/>
    <hyperlink r:id="rId27" ref="N16"/>
    <hyperlink r:id="rId28" ref="AI16"/>
    <hyperlink r:id="rId29" ref="M17"/>
    <hyperlink r:id="rId30" ref="N17"/>
    <hyperlink r:id="rId31" ref="U17"/>
    <hyperlink r:id="rId32" ref="AI17"/>
    <hyperlink r:id="rId33" ref="M18"/>
    <hyperlink r:id="rId34" ref="N18"/>
    <hyperlink r:id="rId35" ref="U18"/>
    <hyperlink r:id="rId36" ref="M19"/>
    <hyperlink r:id="rId37" ref="N19"/>
    <hyperlink r:id="rId38" ref="U19"/>
    <hyperlink r:id="rId39" ref="AI19"/>
    <hyperlink r:id="rId40" ref="M20"/>
    <hyperlink r:id="rId41" ref="N20"/>
    <hyperlink r:id="rId42" ref="U20"/>
    <hyperlink r:id="rId43" ref="AI20"/>
    <hyperlink r:id="rId44" ref="AI23"/>
  </hyperlinks>
  <printOptions/>
  <pageMargins bottom="0.75" footer="0.0" header="0.0" left="0.7" right="0.7" top="0.75"/>
  <pageSetup orientation="portrait"/>
  <drawing r:id="rId45"/>
  <legacyDrawing r:id="rId4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43.71"/>
    <col customWidth="1" min="2" max="2" width="40.71"/>
    <col customWidth="1" min="3" max="3" width="14.0"/>
    <col customWidth="1" min="4" max="4" width="11.29"/>
    <col customWidth="1" min="5" max="5" width="12.71"/>
    <col customWidth="1" min="6" max="6" width="18.57"/>
    <col customWidth="1" min="7" max="7" width="20.43"/>
    <col customWidth="1" min="8" max="8" width="18.71"/>
    <col customWidth="1" min="9" max="9" width="18.86"/>
    <col customWidth="1" min="10" max="10" width="22.29"/>
    <col customWidth="1" min="11" max="11" width="21.57"/>
    <col customWidth="1" min="12" max="12" width="41.0"/>
    <col customWidth="1" min="13" max="13" width="31.0"/>
    <col customWidth="1" min="14" max="14" width="28.29"/>
    <col customWidth="1" min="15" max="15" width="19.43"/>
    <col customWidth="1" min="16" max="16" width="18.29"/>
    <col customWidth="1" min="17" max="17" width="15.14"/>
    <col customWidth="1" min="18" max="18" width="34.57"/>
    <col customWidth="1" min="19" max="19" width="20.14"/>
    <col customWidth="1" min="20" max="20" width="20.71"/>
    <col customWidth="1" min="21" max="21" width="19.43"/>
    <col customWidth="1" min="22" max="22" width="33.29"/>
    <col customWidth="1" min="23" max="23" width="20.57"/>
    <col customWidth="1" min="24" max="24" width="17.43"/>
    <col customWidth="1" min="25" max="25" width="18.57"/>
    <col customWidth="1" min="26" max="26" width="24.86"/>
    <col customWidth="1" min="27" max="27" width="41.0"/>
    <col customWidth="1" min="28" max="28" width="26.43"/>
    <col customWidth="1" min="29" max="29" width="27.29"/>
    <col customWidth="1" min="30" max="30" width="33.14"/>
    <col customWidth="1" min="31" max="31" width="17.43"/>
    <col customWidth="1" min="32" max="32" width="15.43"/>
    <col customWidth="1" min="33" max="33" width="43.86"/>
    <col customWidth="1" min="34" max="34" width="11.57"/>
    <col customWidth="1" min="35" max="35" width="19.71"/>
    <col customWidth="1" min="36" max="36" width="26.29"/>
    <col customWidth="1" min="37" max="37" width="24.14"/>
    <col customWidth="1" min="38" max="38" width="55.0"/>
  </cols>
  <sheetData>
    <row r="1" ht="50.25" customHeight="1">
      <c r="A1" s="130"/>
      <c r="B1" s="14" t="s">
        <v>4818</v>
      </c>
      <c r="C1" s="10"/>
      <c r="D1" s="10"/>
      <c r="E1" s="10"/>
      <c r="F1" s="10"/>
      <c r="G1" s="10"/>
      <c r="H1" s="10"/>
      <c r="I1" s="10"/>
      <c r="J1" s="10"/>
      <c r="K1" s="10"/>
      <c r="L1" s="10"/>
      <c r="M1" s="109"/>
      <c r="N1" s="109"/>
      <c r="O1" s="109"/>
      <c r="P1" s="109"/>
      <c r="Q1" s="109"/>
      <c r="R1" s="109"/>
      <c r="S1" s="109"/>
      <c r="T1" s="109"/>
      <c r="U1" s="109"/>
      <c r="V1" s="109"/>
      <c r="W1" s="109"/>
      <c r="X1" s="109"/>
      <c r="Y1" s="109"/>
      <c r="Z1" s="109"/>
      <c r="AA1" s="109"/>
      <c r="AB1" s="109"/>
      <c r="AC1" s="109"/>
      <c r="AD1" s="109"/>
      <c r="AE1" s="109"/>
      <c r="AF1" s="109"/>
      <c r="AG1" s="109"/>
      <c r="AH1" s="109"/>
      <c r="AI1" s="109"/>
      <c r="AJ1" s="109"/>
      <c r="AK1" s="109"/>
    </row>
    <row r="2" ht="51.0" customHeight="1">
      <c r="A2" s="18" t="s">
        <v>8</v>
      </c>
      <c r="B2" s="18" t="s">
        <v>9</v>
      </c>
      <c r="C2" s="135" t="s">
        <v>10</v>
      </c>
      <c r="D2" s="135" t="s">
        <v>11</v>
      </c>
      <c r="E2" s="135" t="s">
        <v>12</v>
      </c>
      <c r="F2" s="135" t="s">
        <v>13</v>
      </c>
      <c r="G2" s="135" t="s">
        <v>14</v>
      </c>
      <c r="H2" s="135" t="s">
        <v>15</v>
      </c>
      <c r="I2" s="135" t="s">
        <v>16</v>
      </c>
      <c r="J2" s="135" t="s">
        <v>17</v>
      </c>
      <c r="K2" s="18" t="s">
        <v>18</v>
      </c>
      <c r="L2" s="135" t="s">
        <v>3278</v>
      </c>
      <c r="M2" s="135" t="s">
        <v>20</v>
      </c>
      <c r="N2" s="135" t="s">
        <v>21</v>
      </c>
      <c r="O2" s="135" t="s">
        <v>22</v>
      </c>
      <c r="P2" s="135" t="s">
        <v>23</v>
      </c>
      <c r="Q2" s="135" t="s">
        <v>24</v>
      </c>
      <c r="R2" s="135" t="s">
        <v>25</v>
      </c>
      <c r="S2" s="135" t="s">
        <v>26</v>
      </c>
      <c r="T2" s="135" t="s">
        <v>27</v>
      </c>
      <c r="U2" s="135" t="s">
        <v>28</v>
      </c>
      <c r="V2" s="135" t="s">
        <v>3279</v>
      </c>
      <c r="W2" s="135" t="s">
        <v>30</v>
      </c>
      <c r="X2" s="135" t="s">
        <v>31</v>
      </c>
      <c r="Y2" s="135" t="s">
        <v>32</v>
      </c>
      <c r="Z2" s="135" t="s">
        <v>33</v>
      </c>
      <c r="AA2" s="135" t="s">
        <v>34</v>
      </c>
      <c r="AB2" s="135" t="s">
        <v>35</v>
      </c>
      <c r="AC2" s="135" t="s">
        <v>36</v>
      </c>
      <c r="AD2" s="135" t="s">
        <v>37</v>
      </c>
      <c r="AE2" s="135" t="s">
        <v>38</v>
      </c>
      <c r="AF2" s="135" t="s">
        <v>39</v>
      </c>
      <c r="AG2" s="135" t="s">
        <v>40</v>
      </c>
      <c r="AH2" s="135" t="s">
        <v>41</v>
      </c>
      <c r="AI2" s="135" t="s">
        <v>42</v>
      </c>
      <c r="AJ2" s="135" t="s">
        <v>3280</v>
      </c>
      <c r="AK2" s="135" t="s">
        <v>44</v>
      </c>
      <c r="AL2" s="145" t="s">
        <v>45</v>
      </c>
    </row>
    <row r="3" ht="60.0" customHeight="1">
      <c r="A3" s="20" t="s">
        <v>4819</v>
      </c>
      <c r="B3" s="20" t="s">
        <v>4464</v>
      </c>
      <c r="C3" s="20" t="s">
        <v>4820</v>
      </c>
      <c r="D3" s="21" t="s">
        <v>48</v>
      </c>
      <c r="E3" s="20" t="s">
        <v>49</v>
      </c>
      <c r="F3" s="20" t="s">
        <v>4821</v>
      </c>
      <c r="G3" s="20" t="s">
        <v>4821</v>
      </c>
      <c r="H3" s="22">
        <v>45174.0</v>
      </c>
      <c r="I3" s="22">
        <f>$H3+'17025 SAL'!$AN$1</f>
        <v>46634</v>
      </c>
      <c r="J3" s="22">
        <v>38516.0</v>
      </c>
      <c r="K3" s="20" t="s">
        <v>4822</v>
      </c>
      <c r="L3" s="20" t="s">
        <v>4516</v>
      </c>
      <c r="M3" s="52" t="s">
        <v>4517</v>
      </c>
      <c r="N3" s="52" t="s">
        <v>4518</v>
      </c>
      <c r="O3" s="20" t="s">
        <v>4823</v>
      </c>
      <c r="P3" s="20" t="s">
        <v>4459</v>
      </c>
      <c r="Q3" s="20" t="s">
        <v>55</v>
      </c>
      <c r="R3" s="20" t="s">
        <v>4470</v>
      </c>
      <c r="S3" s="20" t="s">
        <v>57</v>
      </c>
      <c r="T3" s="20" t="s">
        <v>4461</v>
      </c>
      <c r="U3" s="52" t="str">
        <f>HYPERLINK("http://www.inteco.or.cr/","www.inteco.or.cr")</f>
        <v>www.inteco.or.cr</v>
      </c>
      <c r="V3" s="20" t="s">
        <v>4471</v>
      </c>
      <c r="W3" s="20" t="s">
        <v>4472</v>
      </c>
      <c r="X3" s="20" t="s">
        <v>1899</v>
      </c>
      <c r="Y3" s="20" t="s">
        <v>63</v>
      </c>
      <c r="Z3" s="20" t="s">
        <v>4473</v>
      </c>
      <c r="AA3" s="20" t="s">
        <v>4474</v>
      </c>
      <c r="AB3" s="20"/>
      <c r="AC3" s="20" t="s">
        <v>4475</v>
      </c>
      <c r="AD3" s="20" t="s">
        <v>4476</v>
      </c>
      <c r="AE3" s="20" t="s">
        <v>4477</v>
      </c>
      <c r="AF3" s="20" t="s">
        <v>4478</v>
      </c>
      <c r="AG3" s="20" t="s">
        <v>4474</v>
      </c>
      <c r="AH3" s="20" t="s">
        <v>4459</v>
      </c>
      <c r="AI3" s="52" t="str">
        <f>HYPERLINK("mailto:lfmiranda@inteco.or.cr","lfmiranda@inteco.or.cr")</f>
        <v>lfmiranda@inteco.or.cr</v>
      </c>
      <c r="AJ3" s="20" t="s">
        <v>4479</v>
      </c>
      <c r="AK3" s="20" t="s">
        <v>4462</v>
      </c>
      <c r="AL3" s="20" t="s">
        <v>4480</v>
      </c>
    </row>
    <row r="4" ht="60.0" customHeight="1">
      <c r="A4" s="20" t="s">
        <v>4824</v>
      </c>
      <c r="B4" s="20"/>
      <c r="C4" s="20" t="s">
        <v>4820</v>
      </c>
      <c r="D4" s="21" t="s">
        <v>213</v>
      </c>
      <c r="E4" s="20" t="s">
        <v>49</v>
      </c>
      <c r="F4" s="20" t="s">
        <v>4825</v>
      </c>
      <c r="G4" s="20" t="s">
        <v>4826</v>
      </c>
      <c r="H4" s="22"/>
      <c r="I4" s="22">
        <f>$H4+'17025 SAL'!$AN$1</f>
        <v>1460</v>
      </c>
      <c r="J4" s="22">
        <v>40339.0</v>
      </c>
      <c r="K4" s="20" t="s">
        <v>730</v>
      </c>
      <c r="L4" s="20" t="s">
        <v>4827</v>
      </c>
      <c r="M4" s="20" t="s">
        <v>4828</v>
      </c>
      <c r="N4" s="20"/>
      <c r="O4" s="20" t="s">
        <v>4829</v>
      </c>
      <c r="P4" s="20" t="s">
        <v>4830</v>
      </c>
      <c r="Q4" s="20" t="s">
        <v>4831</v>
      </c>
      <c r="R4" s="20" t="s">
        <v>4832</v>
      </c>
      <c r="S4" s="20"/>
      <c r="T4" s="20" t="s">
        <v>4833</v>
      </c>
      <c r="U4" s="20" t="s">
        <v>324</v>
      </c>
      <c r="V4" s="20" t="s">
        <v>324</v>
      </c>
      <c r="W4" s="20" t="s">
        <v>324</v>
      </c>
      <c r="X4" s="20" t="s">
        <v>324</v>
      </c>
      <c r="Y4" s="20" t="s">
        <v>324</v>
      </c>
      <c r="Z4" s="20" t="s">
        <v>324</v>
      </c>
      <c r="AA4" s="20" t="s">
        <v>324</v>
      </c>
      <c r="AB4" s="20"/>
      <c r="AC4" s="20" t="s">
        <v>324</v>
      </c>
      <c r="AD4" s="20" t="s">
        <v>324</v>
      </c>
      <c r="AE4" s="20" t="s">
        <v>324</v>
      </c>
      <c r="AF4" s="20" t="s">
        <v>324</v>
      </c>
      <c r="AG4" s="20" t="s">
        <v>324</v>
      </c>
      <c r="AH4" s="20" t="s">
        <v>324</v>
      </c>
      <c r="AI4" s="20" t="s">
        <v>324</v>
      </c>
      <c r="AJ4" s="20" t="s">
        <v>324</v>
      </c>
      <c r="AK4" s="20" t="s">
        <v>4834</v>
      </c>
      <c r="AL4" s="20"/>
    </row>
    <row r="5" ht="60.0" customHeight="1">
      <c r="A5" s="20" t="s">
        <v>4835</v>
      </c>
      <c r="B5" s="20"/>
      <c r="C5" s="20" t="s">
        <v>4820</v>
      </c>
      <c r="D5" s="21" t="s">
        <v>2027</v>
      </c>
      <c r="E5" s="20" t="s">
        <v>96</v>
      </c>
      <c r="F5" s="20" t="s">
        <v>4826</v>
      </c>
      <c r="G5" s="20"/>
      <c r="H5" s="22"/>
      <c r="I5" s="22">
        <f>$H5+'17025 SAL'!$AN$1</f>
        <v>1460</v>
      </c>
      <c r="J5" s="22" t="s">
        <v>324</v>
      </c>
      <c r="K5" s="20" t="s">
        <v>730</v>
      </c>
      <c r="L5" s="20" t="s">
        <v>4836</v>
      </c>
      <c r="M5" s="20" t="s">
        <v>4837</v>
      </c>
      <c r="N5" s="20"/>
      <c r="O5" s="20" t="s">
        <v>4838</v>
      </c>
      <c r="P5" s="20" t="s">
        <v>4839</v>
      </c>
      <c r="Q5" s="20" t="s">
        <v>55</v>
      </c>
      <c r="R5" s="20" t="s">
        <v>4840</v>
      </c>
      <c r="S5" s="20"/>
      <c r="T5" s="20"/>
      <c r="U5" s="20"/>
      <c r="V5" s="20"/>
      <c r="W5" s="20"/>
      <c r="X5" s="20"/>
      <c r="Y5" s="20"/>
      <c r="Z5" s="20"/>
      <c r="AA5" s="20"/>
      <c r="AB5" s="20"/>
      <c r="AC5" s="20"/>
      <c r="AD5" s="20"/>
      <c r="AE5" s="20"/>
      <c r="AF5" s="20"/>
      <c r="AG5" s="20"/>
      <c r="AH5" s="20"/>
      <c r="AI5" s="20"/>
      <c r="AJ5" s="20"/>
      <c r="AK5" s="20" t="s">
        <v>4835</v>
      </c>
      <c r="AL5" s="20"/>
    </row>
    <row r="6" ht="60.0" customHeight="1">
      <c r="A6" s="20" t="s">
        <v>4841</v>
      </c>
      <c r="B6" s="20"/>
      <c r="C6" s="20" t="s">
        <v>4820</v>
      </c>
      <c r="D6" s="21" t="s">
        <v>2027</v>
      </c>
      <c r="E6" s="20" t="s">
        <v>49</v>
      </c>
      <c r="F6" s="20" t="s">
        <v>4842</v>
      </c>
      <c r="G6" s="20"/>
      <c r="H6" s="22"/>
      <c r="I6" s="22">
        <f>$H6+'17025 SAL'!$AN$1</f>
        <v>1460</v>
      </c>
      <c r="J6" s="22" t="s">
        <v>324</v>
      </c>
      <c r="K6" s="20" t="s">
        <v>730</v>
      </c>
      <c r="L6" s="20" t="s">
        <v>4843</v>
      </c>
      <c r="M6" s="20" t="s">
        <v>4844</v>
      </c>
      <c r="N6" s="20"/>
      <c r="O6" s="20" t="s">
        <v>4845</v>
      </c>
      <c r="P6" s="20" t="s">
        <v>324</v>
      </c>
      <c r="Q6" s="20" t="s">
        <v>55</v>
      </c>
      <c r="R6" s="20" t="s">
        <v>4846</v>
      </c>
      <c r="S6" s="20"/>
      <c r="T6" s="20"/>
      <c r="U6" s="20"/>
      <c r="V6" s="20"/>
      <c r="W6" s="20"/>
      <c r="X6" s="20"/>
      <c r="Y6" s="20"/>
      <c r="Z6" s="20"/>
      <c r="AA6" s="20"/>
      <c r="AB6" s="20"/>
      <c r="AC6" s="20"/>
      <c r="AD6" s="20"/>
      <c r="AE6" s="20"/>
      <c r="AF6" s="20"/>
      <c r="AG6" s="20"/>
      <c r="AH6" s="20"/>
      <c r="AI6" s="20"/>
      <c r="AJ6" s="20"/>
      <c r="AK6" s="20" t="s">
        <v>4841</v>
      </c>
      <c r="AL6" s="20"/>
    </row>
    <row r="7" ht="60.0" customHeight="1">
      <c r="A7" s="20" t="s">
        <v>4835</v>
      </c>
      <c r="B7" s="20"/>
      <c r="C7" s="20" t="s">
        <v>4820</v>
      </c>
      <c r="D7" s="21" t="s">
        <v>2027</v>
      </c>
      <c r="E7" s="20" t="s">
        <v>96</v>
      </c>
      <c r="F7" s="20" t="s">
        <v>4847</v>
      </c>
      <c r="G7" s="20"/>
      <c r="H7" s="22"/>
      <c r="I7" s="22">
        <f>$H7+'17025 SAL'!$AN$1</f>
        <v>1460</v>
      </c>
      <c r="J7" s="22" t="s">
        <v>324</v>
      </c>
      <c r="K7" s="20" t="s">
        <v>730</v>
      </c>
      <c r="L7" s="20" t="s">
        <v>4836</v>
      </c>
      <c r="M7" s="52" t="str">
        <f>HYPERLINK("mailto:edcastro@earth.ac.cr","edcastro@earth.ac.cr")</f>
        <v>edcastro@earth.ac.cr</v>
      </c>
      <c r="N7" s="20"/>
      <c r="O7" s="20" t="s">
        <v>4838</v>
      </c>
      <c r="P7" s="20" t="s">
        <v>4839</v>
      </c>
      <c r="Q7" s="20" t="s">
        <v>55</v>
      </c>
      <c r="R7" s="20" t="s">
        <v>4840</v>
      </c>
      <c r="S7" s="20"/>
      <c r="T7" s="20"/>
      <c r="U7" s="20"/>
      <c r="V7" s="20"/>
      <c r="W7" s="20"/>
      <c r="X7" s="20"/>
      <c r="Y7" s="20"/>
      <c r="Z7" s="20"/>
      <c r="AA7" s="20"/>
      <c r="AB7" s="20"/>
      <c r="AC7" s="20"/>
      <c r="AD7" s="20"/>
      <c r="AE7" s="20"/>
      <c r="AF7" s="20"/>
      <c r="AG7" s="20"/>
      <c r="AH7" s="20"/>
      <c r="AI7" s="20"/>
      <c r="AJ7" s="20"/>
      <c r="AK7" s="20" t="s">
        <v>4835</v>
      </c>
      <c r="AL7" s="20" t="s">
        <v>3748</v>
      </c>
    </row>
    <row r="8" ht="60.0" customHeight="1">
      <c r="A8" s="20" t="s">
        <v>4848</v>
      </c>
      <c r="B8" s="20"/>
      <c r="C8" s="20" t="s">
        <v>4820</v>
      </c>
      <c r="D8" s="21" t="s">
        <v>2027</v>
      </c>
      <c r="E8" s="20" t="s">
        <v>49</v>
      </c>
      <c r="F8" s="20" t="s">
        <v>4849</v>
      </c>
      <c r="G8" s="20"/>
      <c r="H8" s="22"/>
      <c r="I8" s="22">
        <f>$H8+'17025 SAL'!$AN$1</f>
        <v>1460</v>
      </c>
      <c r="J8" s="22" t="s">
        <v>324</v>
      </c>
      <c r="K8" s="20" t="s">
        <v>730</v>
      </c>
      <c r="L8" s="20" t="s">
        <v>4850</v>
      </c>
      <c r="M8" s="52" t="str">
        <f>HYPERLINK("mailto:rdorado@ociworldwide.com;","rdorado@ociworldwide.com; agonzalez@ociworldwide.com")</f>
        <v>rdorado@ociworldwide.com; agonzalez@ociworldwide.com</v>
      </c>
      <c r="N8" s="20"/>
      <c r="O8" s="20" t="s">
        <v>4851</v>
      </c>
      <c r="P8" s="20" t="s">
        <v>324</v>
      </c>
      <c r="Q8" s="20" t="s">
        <v>55</v>
      </c>
      <c r="R8" s="20" t="s">
        <v>4846</v>
      </c>
      <c r="S8" s="20"/>
      <c r="T8" s="20" t="s">
        <v>4852</v>
      </c>
      <c r="U8" s="52" t="str">
        <f>HYPERLINK("http://www.ociworldwide.co.cr/","www.ociworldwide.co.cr")</f>
        <v>www.ociworldwide.co.cr</v>
      </c>
      <c r="V8" s="20" t="s">
        <v>4850</v>
      </c>
      <c r="W8" s="20">
        <v>1.08370577E8</v>
      </c>
      <c r="X8" s="20" t="s">
        <v>62</v>
      </c>
      <c r="Y8" s="20" t="s">
        <v>63</v>
      </c>
      <c r="Z8" s="20" t="s">
        <v>3322</v>
      </c>
      <c r="AA8" s="20" t="s">
        <v>4853</v>
      </c>
      <c r="AB8" s="20"/>
      <c r="AC8" s="20" t="s">
        <v>243</v>
      </c>
      <c r="AD8" s="20" t="s">
        <v>4854</v>
      </c>
      <c r="AE8" s="20" t="s">
        <v>4855</v>
      </c>
      <c r="AF8" s="20">
        <v>2.2965803E7</v>
      </c>
      <c r="AG8" s="20" t="s">
        <v>4853</v>
      </c>
      <c r="AH8" s="20" t="s">
        <v>324</v>
      </c>
      <c r="AI8" s="52" t="str">
        <f>HYPERLINK("mailto:stapia@ociworldwide.com","stapia@ociworldwide.com")</f>
        <v>stapia@ociworldwide.com</v>
      </c>
      <c r="AJ8" s="20" t="s">
        <v>4856</v>
      </c>
      <c r="AK8" s="20" t="s">
        <v>4848</v>
      </c>
      <c r="AL8" s="20"/>
    </row>
    <row r="9" ht="60.0" customHeight="1">
      <c r="A9" s="20" t="s">
        <v>4857</v>
      </c>
      <c r="B9" s="20"/>
      <c r="C9" s="20" t="s">
        <v>4820</v>
      </c>
      <c r="D9" s="21" t="s">
        <v>2027</v>
      </c>
      <c r="E9" s="20" t="s">
        <v>49</v>
      </c>
      <c r="F9" s="20" t="s">
        <v>4858</v>
      </c>
      <c r="G9" s="20"/>
      <c r="H9" s="22"/>
      <c r="I9" s="22">
        <f>$H9+'17025 SAL'!$AN$1</f>
        <v>1460</v>
      </c>
      <c r="J9" s="22"/>
      <c r="K9" s="20"/>
      <c r="L9" s="20" t="s">
        <v>4859</v>
      </c>
      <c r="M9" s="52" t="str">
        <f>HYPERLINK("mailto:admin@elitecertification.com","admin@elitecertification.com; amit@elitecertification.com;")</f>
        <v>admin@elitecertification.com; amit@elitecertification.com;</v>
      </c>
      <c r="N9" s="20"/>
      <c r="O9" s="20" t="s">
        <v>4860</v>
      </c>
      <c r="P9" s="20" t="s">
        <v>4860</v>
      </c>
      <c r="Q9" s="20" t="s">
        <v>4861</v>
      </c>
      <c r="R9" s="20" t="s">
        <v>4862</v>
      </c>
      <c r="S9" s="20"/>
      <c r="T9" s="20" t="s">
        <v>4863</v>
      </c>
      <c r="U9" s="52" t="str">
        <f>HYPERLINK("http://www.elitecertification.com;/","www.elitecertification.com;")</f>
        <v>www.elitecertification.com;</v>
      </c>
      <c r="V9" s="20" t="s">
        <v>4864</v>
      </c>
      <c r="W9" s="20" t="s">
        <v>4865</v>
      </c>
      <c r="X9" s="20"/>
      <c r="Y9" s="20" t="s">
        <v>4861</v>
      </c>
      <c r="Z9" s="20" t="s">
        <v>4866</v>
      </c>
      <c r="AA9" s="20" t="s">
        <v>4867</v>
      </c>
      <c r="AB9" s="20"/>
      <c r="AC9" s="20" t="s">
        <v>243</v>
      </c>
      <c r="AD9" s="20"/>
      <c r="AE9" s="20" t="s">
        <v>4868</v>
      </c>
      <c r="AF9" s="20" t="s">
        <v>4860</v>
      </c>
      <c r="AG9" s="20" t="s">
        <v>4869</v>
      </c>
      <c r="AH9" s="20" t="s">
        <v>4860</v>
      </c>
      <c r="AI9" s="20"/>
      <c r="AJ9" s="20"/>
      <c r="AK9" s="20" t="s">
        <v>4857</v>
      </c>
      <c r="AL9" s="20"/>
    </row>
    <row r="10" ht="60.0" customHeight="1">
      <c r="A10" s="20" t="s">
        <v>4870</v>
      </c>
      <c r="B10" s="20"/>
      <c r="C10" s="20" t="s">
        <v>4820</v>
      </c>
      <c r="D10" s="21" t="s">
        <v>213</v>
      </c>
      <c r="E10" s="20" t="s">
        <v>49</v>
      </c>
      <c r="F10" s="20" t="s">
        <v>4871</v>
      </c>
      <c r="G10" s="20" t="s">
        <v>4872</v>
      </c>
      <c r="H10" s="22"/>
      <c r="I10" s="22">
        <f>$H10+'17025 SAL'!$AN$1</f>
        <v>1460</v>
      </c>
      <c r="J10" s="22">
        <v>42164.0</v>
      </c>
      <c r="K10" s="20" t="s">
        <v>730</v>
      </c>
      <c r="L10" s="20" t="s">
        <v>4873</v>
      </c>
      <c r="M10" s="52" t="str">
        <f>HYPERLINK("mailto:lourdes.munoz@sgs.com","lourdes.munoz@sgs.com")</f>
        <v>lourdes.munoz@sgs.com</v>
      </c>
      <c r="N10" s="20"/>
      <c r="O10" s="20" t="s">
        <v>4874</v>
      </c>
      <c r="P10" s="20" t="s">
        <v>4875</v>
      </c>
      <c r="Q10" s="20" t="s">
        <v>2574</v>
      </c>
      <c r="R10" s="20" t="s">
        <v>4876</v>
      </c>
      <c r="S10" s="20" t="s">
        <v>2574</v>
      </c>
      <c r="T10" s="20" t="s">
        <v>4877</v>
      </c>
      <c r="U10" s="20"/>
      <c r="V10" s="20" t="s">
        <v>4878</v>
      </c>
      <c r="W10" s="20" t="s">
        <v>4879</v>
      </c>
      <c r="X10" s="20" t="s">
        <v>62</v>
      </c>
      <c r="Y10" s="20" t="s">
        <v>4880</v>
      </c>
      <c r="Z10" s="20" t="s">
        <v>167</v>
      </c>
      <c r="AA10" s="52" t="str">
        <f>HYPERLINK("mailto:Wim.vanStrien@sgs.com","Wim.vanStrien@sgs.com")</f>
        <v>Wim.vanStrien@sgs.com</v>
      </c>
      <c r="AB10" s="20"/>
      <c r="AC10" s="20" t="s">
        <v>4881</v>
      </c>
      <c r="AD10" s="20" t="s">
        <v>4882</v>
      </c>
      <c r="AE10" s="20" t="s">
        <v>4883</v>
      </c>
      <c r="AF10" s="20" t="s">
        <v>4884</v>
      </c>
      <c r="AG10" s="20" t="s">
        <v>4885</v>
      </c>
      <c r="AH10" s="20" t="s">
        <v>4886</v>
      </c>
      <c r="AI10" s="52" t="str">
        <f>HYPERLINK("mailto:Leisla.Bourdett@sgs.com","Leisla.Bourdett@sgs.com")</f>
        <v>Leisla.Bourdett@sgs.com</v>
      </c>
      <c r="AJ10" s="20" t="s">
        <v>4887</v>
      </c>
      <c r="AK10" s="20" t="s">
        <v>4883</v>
      </c>
      <c r="AL10" s="20" t="s">
        <v>4888</v>
      </c>
    </row>
    <row r="11" ht="60.0" customHeight="1">
      <c r="A11" s="20" t="s">
        <v>4889</v>
      </c>
      <c r="B11" s="20"/>
      <c r="C11" s="20"/>
      <c r="D11" s="148" t="s">
        <v>2027</v>
      </c>
      <c r="E11" s="20" t="s">
        <v>49</v>
      </c>
      <c r="F11" s="20" t="s">
        <v>4890</v>
      </c>
      <c r="G11" s="20"/>
      <c r="H11" s="22"/>
      <c r="I11" s="22">
        <f>$H11+'17025 SAL'!$AN$1</f>
        <v>1460</v>
      </c>
      <c r="J11" s="22"/>
      <c r="K11" s="20"/>
      <c r="L11" s="20" t="s">
        <v>4891</v>
      </c>
      <c r="M11" s="20" t="s">
        <v>4892</v>
      </c>
      <c r="N11" s="20" t="s">
        <v>4893</v>
      </c>
      <c r="O11" s="20">
        <v>9.540966007E9</v>
      </c>
      <c r="P11" s="20" t="s">
        <v>324</v>
      </c>
      <c r="Q11" s="20"/>
      <c r="R11" s="20" t="s">
        <v>4894</v>
      </c>
      <c r="S11" s="20" t="s">
        <v>4895</v>
      </c>
      <c r="T11" s="20"/>
      <c r="U11" s="20" t="s">
        <v>4896</v>
      </c>
      <c r="V11" s="20"/>
      <c r="W11" s="20"/>
      <c r="X11" s="20"/>
      <c r="Y11" s="20"/>
      <c r="Z11" s="20"/>
      <c r="AA11" s="20"/>
      <c r="AB11" s="20"/>
      <c r="AC11" s="20"/>
      <c r="AD11" s="20"/>
      <c r="AE11" s="20"/>
      <c r="AF11" s="20"/>
      <c r="AG11" s="20"/>
      <c r="AH11" s="20"/>
      <c r="AI11" s="20"/>
      <c r="AJ11" s="20"/>
      <c r="AK11" s="20"/>
      <c r="AL11" s="20"/>
    </row>
    <row r="12" ht="60.0" customHeight="1">
      <c r="A12" s="20" t="s">
        <v>4897</v>
      </c>
      <c r="B12" s="20"/>
      <c r="C12" s="20" t="s">
        <v>4820</v>
      </c>
      <c r="D12" s="21" t="s">
        <v>2027</v>
      </c>
      <c r="E12" s="20" t="s">
        <v>49</v>
      </c>
      <c r="F12" s="20" t="s">
        <v>4898</v>
      </c>
      <c r="G12" s="20"/>
      <c r="H12" s="22"/>
      <c r="I12" s="22">
        <f>$H12+'17025 SAL'!$AN$1</f>
        <v>1460</v>
      </c>
      <c r="J12" s="22"/>
      <c r="K12" s="20"/>
      <c r="L12" s="20" t="s">
        <v>4899</v>
      </c>
      <c r="M12" s="52" t="str">
        <f>HYPERLINK("mailto:mmonsalve@qsiamerica.com","mmonsalve@qsiamerica.com")</f>
        <v>mmonsalve@qsiamerica.com</v>
      </c>
      <c r="N12" s="20" t="s">
        <v>4900</v>
      </c>
      <c r="O12" s="20" t="s">
        <v>4901</v>
      </c>
      <c r="P12" s="20" t="s">
        <v>4902</v>
      </c>
      <c r="Q12" s="20"/>
      <c r="R12" s="20"/>
      <c r="S12" s="20"/>
      <c r="T12" s="20" t="s">
        <v>4903</v>
      </c>
      <c r="U12" s="20" t="s">
        <v>4904</v>
      </c>
      <c r="V12" s="20" t="s">
        <v>4905</v>
      </c>
      <c r="W12" s="20" t="s">
        <v>4906</v>
      </c>
      <c r="X12" s="20" t="s">
        <v>2398</v>
      </c>
      <c r="Y12" s="20" t="s">
        <v>63</v>
      </c>
      <c r="Z12" s="20" t="s">
        <v>4907</v>
      </c>
      <c r="AA12" s="20"/>
      <c r="AB12" s="20"/>
      <c r="AC12" s="20"/>
      <c r="AD12" s="20" t="s">
        <v>4905</v>
      </c>
      <c r="AE12" s="20" t="s">
        <v>4908</v>
      </c>
      <c r="AF12" s="20" t="s">
        <v>4909</v>
      </c>
      <c r="AG12" s="20" t="s">
        <v>4910</v>
      </c>
      <c r="AH12" s="20" t="s">
        <v>324</v>
      </c>
      <c r="AI12" s="20" t="s">
        <v>4911</v>
      </c>
      <c r="AJ12" s="20" t="s">
        <v>4912</v>
      </c>
      <c r="AK12" s="20" t="s">
        <v>4908</v>
      </c>
      <c r="AL12" s="20"/>
    </row>
    <row r="13" ht="60.0" customHeight="1">
      <c r="A13" s="20" t="s">
        <v>4913</v>
      </c>
      <c r="B13" s="20"/>
      <c r="C13" s="20" t="s">
        <v>4820</v>
      </c>
      <c r="D13" s="148" t="s">
        <v>2027</v>
      </c>
      <c r="E13" s="20" t="s">
        <v>49</v>
      </c>
      <c r="F13" s="20" t="s">
        <v>4914</v>
      </c>
      <c r="G13" s="20"/>
      <c r="H13" s="22"/>
      <c r="I13" s="22">
        <f>$H13+'17025 SAL'!$AN$1</f>
        <v>1460</v>
      </c>
      <c r="J13" s="22"/>
      <c r="K13" s="20"/>
      <c r="L13" s="20" t="s">
        <v>4915</v>
      </c>
      <c r="M13" s="52" t="s">
        <v>4916</v>
      </c>
      <c r="N13" s="52" t="s">
        <v>4917</v>
      </c>
      <c r="O13" s="20" t="s">
        <v>4918</v>
      </c>
      <c r="P13" s="20" t="s">
        <v>3987</v>
      </c>
      <c r="Q13" s="20" t="s">
        <v>4656</v>
      </c>
      <c r="R13" s="20" t="s">
        <v>4919</v>
      </c>
      <c r="S13" s="20" t="s">
        <v>4656</v>
      </c>
      <c r="T13" s="20">
        <v>2.0601407869E10</v>
      </c>
      <c r="U13" s="52" t="s">
        <v>4920</v>
      </c>
      <c r="V13" s="20" t="s">
        <v>4915</v>
      </c>
      <c r="W13" s="20">
        <v>4.5085466E7</v>
      </c>
      <c r="X13" s="20" t="s">
        <v>84</v>
      </c>
      <c r="Y13" s="20" t="s">
        <v>4661</v>
      </c>
      <c r="Z13" s="20" t="s">
        <v>4921</v>
      </c>
      <c r="AA13" s="20" t="s">
        <v>4922</v>
      </c>
      <c r="AB13" s="20"/>
      <c r="AC13" s="20" t="s">
        <v>67</v>
      </c>
      <c r="AD13" s="20"/>
      <c r="AE13" s="20" t="s">
        <v>4915</v>
      </c>
      <c r="AF13" s="20">
        <v>9.22184353E8</v>
      </c>
      <c r="AG13" s="20" t="s">
        <v>4666</v>
      </c>
      <c r="AH13" s="20" t="s">
        <v>3987</v>
      </c>
      <c r="AI13" s="52" t="s">
        <v>4916</v>
      </c>
      <c r="AJ13" s="20" t="s">
        <v>4923</v>
      </c>
      <c r="AK13" s="20" t="s">
        <v>4913</v>
      </c>
      <c r="AL13" s="20"/>
    </row>
    <row r="14" ht="60.0" customHeight="1">
      <c r="A14" s="20" t="s">
        <v>4924</v>
      </c>
      <c r="B14" s="20"/>
      <c r="C14" s="20" t="s">
        <v>4820</v>
      </c>
      <c r="D14" s="21" t="s">
        <v>2027</v>
      </c>
      <c r="E14" s="20" t="s">
        <v>49</v>
      </c>
      <c r="F14" s="20" t="s">
        <v>4925</v>
      </c>
      <c r="G14" s="20"/>
      <c r="H14" s="22"/>
      <c r="I14" s="22">
        <f>$H14+'17025 SAL'!$AN$1</f>
        <v>1460</v>
      </c>
      <c r="J14" s="22"/>
      <c r="K14" s="20"/>
      <c r="L14" s="20" t="s">
        <v>4899</v>
      </c>
      <c r="M14" s="52" t="str">
        <f>HYPERLINK("mailto:mmonsalve@qsiamerica.com","mmonsalve@qsiamerica.com")</f>
        <v>mmonsalve@qsiamerica.com</v>
      </c>
      <c r="N14" s="20" t="s">
        <v>4926</v>
      </c>
      <c r="O14" s="20" t="s">
        <v>4927</v>
      </c>
      <c r="P14" s="20" t="s">
        <v>4928</v>
      </c>
      <c r="Q14" s="20"/>
      <c r="R14" s="20" t="s">
        <v>4929</v>
      </c>
      <c r="S14" s="20"/>
      <c r="T14" s="20" t="s">
        <v>4930</v>
      </c>
      <c r="U14" s="20" t="s">
        <v>4931</v>
      </c>
      <c r="V14" s="20" t="s">
        <v>4932</v>
      </c>
      <c r="W14" s="20">
        <v>4.28451979E8</v>
      </c>
      <c r="X14" s="20"/>
      <c r="Y14" s="20"/>
      <c r="Z14" s="20"/>
      <c r="AA14" s="20"/>
      <c r="AB14" s="20"/>
      <c r="AC14" s="20"/>
      <c r="AD14" s="20"/>
      <c r="AE14" s="20" t="s">
        <v>4924</v>
      </c>
      <c r="AF14" s="20" t="s">
        <v>4927</v>
      </c>
      <c r="AG14" s="20" t="s">
        <v>4933</v>
      </c>
      <c r="AH14" s="20"/>
      <c r="AI14" s="20"/>
      <c r="AJ14" s="20"/>
      <c r="AK14" s="20"/>
      <c r="AL14" s="20"/>
    </row>
    <row r="15" ht="48.75" customHeight="1">
      <c r="A15" s="20" t="s">
        <v>4934</v>
      </c>
      <c r="B15" s="20" t="s">
        <v>4935</v>
      </c>
      <c r="C15" s="20" t="s">
        <v>4820</v>
      </c>
      <c r="D15" s="21" t="s">
        <v>2911</v>
      </c>
      <c r="E15" s="20" t="s">
        <v>49</v>
      </c>
      <c r="F15" s="20" t="s">
        <v>4936</v>
      </c>
      <c r="G15" s="20"/>
      <c r="H15" s="22"/>
      <c r="I15" s="22"/>
      <c r="J15" s="22"/>
      <c r="K15" s="20"/>
      <c r="L15" s="20" t="s">
        <v>4937</v>
      </c>
      <c r="M15" s="38" t="s">
        <v>4938</v>
      </c>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row>
    <row r="16" ht="15.75" customHeight="1">
      <c r="D16" s="128"/>
      <c r="G16" s="153"/>
      <c r="H16" s="154"/>
      <c r="I16" s="154"/>
      <c r="J16" s="154"/>
      <c r="AB16" s="123"/>
    </row>
    <row r="17" ht="15.75" customHeight="1">
      <c r="D17" s="128"/>
      <c r="G17" s="153"/>
      <c r="H17" s="154"/>
      <c r="I17" s="154"/>
      <c r="J17" s="154"/>
      <c r="AB17" s="123"/>
    </row>
    <row r="18" ht="15.75" customHeight="1">
      <c r="D18" s="128"/>
      <c r="G18" s="153"/>
      <c r="H18" s="154"/>
      <c r="I18" s="154"/>
      <c r="J18" s="154"/>
      <c r="AB18" s="123"/>
    </row>
    <row r="19" ht="15.75" customHeight="1">
      <c r="D19" s="128"/>
      <c r="G19" s="153"/>
      <c r="H19" s="154"/>
      <c r="I19" s="154"/>
      <c r="J19" s="154"/>
      <c r="AB19" s="123"/>
    </row>
    <row r="20" ht="15.75" customHeight="1">
      <c r="D20" s="128"/>
      <c r="G20" s="153"/>
      <c r="H20" s="154"/>
      <c r="I20" s="154"/>
      <c r="J20" s="154"/>
      <c r="AB20" s="123"/>
    </row>
    <row r="21" ht="15.0" customHeight="1">
      <c r="B21" s="131"/>
      <c r="D21" s="128"/>
      <c r="G21" s="153"/>
      <c r="H21" s="154"/>
      <c r="I21" s="154"/>
      <c r="J21" s="154"/>
      <c r="AB21" s="123"/>
    </row>
    <row r="22" ht="15.0" customHeight="1">
      <c r="A22" s="101" t="s">
        <v>3266</v>
      </c>
      <c r="D22" s="128"/>
      <c r="G22" s="153"/>
      <c r="H22" s="154"/>
      <c r="I22" s="154"/>
      <c r="J22" s="154"/>
      <c r="AB22" s="123"/>
    </row>
    <row r="23" ht="15.0" customHeight="1">
      <c r="A23" s="102" t="s">
        <v>11</v>
      </c>
      <c r="B23" s="103"/>
      <c r="D23" s="128"/>
      <c r="G23" s="153"/>
      <c r="H23" s="154"/>
      <c r="I23" s="154"/>
      <c r="J23" s="154"/>
      <c r="AB23" s="123"/>
    </row>
    <row r="24" ht="15.0" customHeight="1">
      <c r="A24" s="21" t="s">
        <v>48</v>
      </c>
      <c r="B24" s="104" t="s">
        <v>3267</v>
      </c>
      <c r="D24" s="128"/>
      <c r="G24" s="153"/>
      <c r="H24" s="154"/>
      <c r="I24" s="154"/>
      <c r="J24" s="154"/>
      <c r="AB24" s="149"/>
    </row>
    <row r="25" ht="15.0" customHeight="1">
      <c r="A25" s="21" t="s">
        <v>822</v>
      </c>
      <c r="B25" s="104" t="s">
        <v>3268</v>
      </c>
      <c r="D25" s="128"/>
      <c r="G25" s="153"/>
      <c r="H25" s="154"/>
      <c r="I25" s="154"/>
      <c r="J25" s="154"/>
    </row>
    <row r="26" ht="15.0" customHeight="1">
      <c r="A26" s="21" t="s">
        <v>213</v>
      </c>
      <c r="B26" s="104" t="s">
        <v>3269</v>
      </c>
      <c r="D26" s="128"/>
      <c r="G26" s="153"/>
      <c r="H26" s="154"/>
      <c r="I26" s="154"/>
      <c r="J26" s="154"/>
    </row>
    <row r="27" ht="15.0" customHeight="1">
      <c r="A27" s="21" t="s">
        <v>314</v>
      </c>
      <c r="B27" s="104" t="s">
        <v>3270</v>
      </c>
      <c r="D27" s="128"/>
      <c r="G27" s="153"/>
      <c r="H27" s="154"/>
      <c r="I27" s="154"/>
      <c r="J27" s="154"/>
    </row>
    <row r="28" ht="15.0" customHeight="1">
      <c r="A28" s="21" t="s">
        <v>2027</v>
      </c>
      <c r="B28" s="104" t="s">
        <v>3271</v>
      </c>
      <c r="D28" s="128"/>
      <c r="G28" s="153"/>
      <c r="H28" s="154"/>
      <c r="I28" s="154"/>
      <c r="J28" s="154"/>
    </row>
    <row r="29" ht="15.0" customHeight="1">
      <c r="A29" s="21" t="s">
        <v>2911</v>
      </c>
      <c r="B29" s="104" t="s">
        <v>3272</v>
      </c>
      <c r="D29" s="128"/>
      <c r="G29" s="153"/>
      <c r="H29" s="154"/>
      <c r="I29" s="154"/>
      <c r="J29" s="154"/>
    </row>
    <row r="30" ht="15.75" customHeight="1">
      <c r="D30" s="128"/>
      <c r="G30" s="153"/>
      <c r="H30" s="154"/>
      <c r="I30" s="154"/>
      <c r="J30" s="154"/>
    </row>
    <row r="31" ht="15.75" customHeight="1">
      <c r="D31" s="128"/>
      <c r="G31" s="153"/>
      <c r="H31" s="154"/>
      <c r="I31" s="154"/>
      <c r="J31" s="154"/>
    </row>
    <row r="32" ht="15.75" customHeight="1">
      <c r="D32" s="128"/>
      <c r="G32" s="153"/>
      <c r="H32" s="154"/>
      <c r="I32" s="154"/>
      <c r="J32" s="154"/>
    </row>
    <row r="33" ht="15.75" customHeight="1">
      <c r="D33" s="128"/>
      <c r="G33" s="153"/>
      <c r="H33" s="154"/>
      <c r="I33" s="154"/>
      <c r="J33" s="154"/>
    </row>
    <row r="34" ht="15.75" customHeight="1">
      <c r="D34" s="128"/>
      <c r="G34" s="153"/>
      <c r="H34" s="154"/>
      <c r="I34" s="154"/>
      <c r="J34" s="154"/>
    </row>
    <row r="35" ht="15.75" customHeight="1">
      <c r="D35" s="128"/>
      <c r="G35" s="153"/>
      <c r="H35" s="154"/>
      <c r="I35" s="154"/>
      <c r="J35" s="154"/>
    </row>
    <row r="36" ht="15.75" customHeight="1">
      <c r="D36" s="128"/>
      <c r="G36" s="153"/>
      <c r="H36" s="154"/>
      <c r="I36" s="154"/>
      <c r="J36" s="154"/>
    </row>
    <row r="37" ht="15.75" customHeight="1">
      <c r="D37" s="128"/>
      <c r="G37" s="153"/>
      <c r="H37" s="154"/>
      <c r="I37" s="154"/>
      <c r="J37" s="154"/>
    </row>
    <row r="38" ht="15.75" customHeight="1">
      <c r="D38" s="128"/>
      <c r="G38" s="153"/>
      <c r="H38" s="154"/>
      <c r="I38" s="154"/>
      <c r="J38" s="154"/>
    </row>
    <row r="39" ht="15.75" customHeight="1">
      <c r="D39" s="128"/>
      <c r="G39" s="153"/>
      <c r="H39" s="154"/>
      <c r="I39" s="154"/>
      <c r="J39" s="154"/>
    </row>
    <row r="40" ht="15.75" customHeight="1">
      <c r="D40" s="128"/>
      <c r="G40" s="153"/>
      <c r="H40" s="154"/>
      <c r="I40" s="154"/>
      <c r="J40" s="154"/>
    </row>
    <row r="41" ht="15.75" customHeight="1">
      <c r="D41" s="128"/>
      <c r="G41" s="153"/>
      <c r="H41" s="154"/>
      <c r="I41" s="154"/>
      <c r="J41" s="154"/>
    </row>
    <row r="42" ht="15.75" customHeight="1">
      <c r="D42" s="128"/>
      <c r="G42" s="153"/>
      <c r="H42" s="154"/>
      <c r="I42" s="154"/>
      <c r="J42" s="154"/>
    </row>
    <row r="43" ht="15.75" customHeight="1">
      <c r="D43" s="128"/>
      <c r="G43" s="153"/>
      <c r="H43" s="154"/>
      <c r="I43" s="154"/>
      <c r="J43" s="154"/>
    </row>
    <row r="44" ht="15.75" customHeight="1">
      <c r="D44" s="128"/>
      <c r="G44" s="153"/>
      <c r="H44" s="154"/>
      <c r="I44" s="154"/>
      <c r="J44" s="154"/>
    </row>
    <row r="45" ht="15.75" customHeight="1">
      <c r="D45" s="128"/>
      <c r="G45" s="153"/>
      <c r="H45" s="154"/>
      <c r="I45" s="154"/>
      <c r="J45" s="154"/>
    </row>
    <row r="46" ht="15.75" customHeight="1">
      <c r="D46" s="128"/>
      <c r="G46" s="153"/>
      <c r="H46" s="154"/>
      <c r="I46" s="154"/>
      <c r="J46" s="154"/>
    </row>
    <row r="47" ht="15.75" customHeight="1">
      <c r="D47" s="128"/>
      <c r="G47" s="153"/>
      <c r="H47" s="154"/>
      <c r="I47" s="154"/>
      <c r="J47" s="154"/>
    </row>
    <row r="48" ht="15.75" customHeight="1">
      <c r="D48" s="128"/>
      <c r="G48" s="153"/>
      <c r="H48" s="154"/>
      <c r="I48" s="154"/>
      <c r="J48" s="154"/>
    </row>
    <row r="49" ht="15.75" customHeight="1">
      <c r="D49" s="128"/>
      <c r="G49" s="153"/>
      <c r="H49" s="154"/>
      <c r="I49" s="154"/>
      <c r="J49" s="154"/>
    </row>
    <row r="50" ht="15.75" customHeight="1">
      <c r="D50" s="128"/>
      <c r="G50" s="153"/>
      <c r="H50" s="154"/>
      <c r="I50" s="154"/>
      <c r="J50" s="154"/>
    </row>
    <row r="51" ht="15.75" customHeight="1">
      <c r="D51" s="128"/>
      <c r="G51" s="153"/>
      <c r="H51" s="154"/>
      <c r="I51" s="154"/>
      <c r="J51" s="154"/>
    </row>
    <row r="52" ht="15.75" customHeight="1">
      <c r="D52" s="128"/>
      <c r="G52" s="153"/>
      <c r="H52" s="154"/>
      <c r="I52" s="154"/>
      <c r="J52" s="154"/>
    </row>
    <row r="53" ht="15.75" customHeight="1">
      <c r="D53" s="128"/>
      <c r="G53" s="153"/>
      <c r="H53" s="154"/>
      <c r="I53" s="154"/>
      <c r="J53" s="154"/>
    </row>
    <row r="54" ht="15.75" customHeight="1">
      <c r="D54" s="128"/>
      <c r="G54" s="153"/>
      <c r="H54" s="154"/>
      <c r="I54" s="154"/>
      <c r="J54" s="154"/>
    </row>
    <row r="55" ht="15.75" customHeight="1">
      <c r="D55" s="128"/>
      <c r="G55" s="153"/>
      <c r="H55" s="154"/>
      <c r="I55" s="154"/>
      <c r="J55" s="154"/>
    </row>
    <row r="56" ht="15.75" customHeight="1">
      <c r="D56" s="128"/>
      <c r="G56" s="153"/>
      <c r="H56" s="154"/>
      <c r="I56" s="154"/>
      <c r="J56" s="154"/>
    </row>
    <row r="57" ht="15.75" customHeight="1">
      <c r="D57" s="128"/>
      <c r="G57" s="153"/>
      <c r="H57" s="154"/>
      <c r="I57" s="154"/>
      <c r="J57" s="154"/>
    </row>
    <row r="58" ht="15.75" customHeight="1">
      <c r="D58" s="128"/>
      <c r="G58" s="153"/>
      <c r="H58" s="154"/>
      <c r="I58" s="154"/>
      <c r="J58" s="154"/>
    </row>
    <row r="59" ht="15.75" customHeight="1">
      <c r="D59" s="128"/>
      <c r="G59" s="153"/>
      <c r="H59" s="154"/>
      <c r="I59" s="154"/>
      <c r="J59" s="154"/>
    </row>
    <row r="60" ht="15.75" customHeight="1">
      <c r="D60" s="128"/>
      <c r="G60" s="153"/>
      <c r="H60" s="154"/>
      <c r="I60" s="154"/>
      <c r="J60" s="154"/>
    </row>
    <row r="61" ht="15.75" customHeight="1">
      <c r="D61" s="128"/>
      <c r="G61" s="153"/>
      <c r="H61" s="154"/>
      <c r="I61" s="154"/>
      <c r="J61" s="154"/>
    </row>
    <row r="62" ht="15.75" customHeight="1">
      <c r="D62" s="128"/>
      <c r="G62" s="153"/>
      <c r="H62" s="154"/>
      <c r="I62" s="154"/>
      <c r="J62" s="154"/>
    </row>
    <row r="63" ht="15.75" customHeight="1">
      <c r="D63" s="128"/>
      <c r="G63" s="153"/>
      <c r="H63" s="154"/>
      <c r="I63" s="154"/>
      <c r="J63" s="154"/>
    </row>
    <row r="64" ht="15.75" customHeight="1">
      <c r="D64" s="128"/>
      <c r="G64" s="153"/>
      <c r="H64" s="154"/>
      <c r="I64" s="154"/>
      <c r="J64" s="154"/>
    </row>
    <row r="65" ht="15.75" customHeight="1">
      <c r="D65" s="128"/>
      <c r="G65" s="153"/>
      <c r="H65" s="154"/>
      <c r="I65" s="154"/>
      <c r="J65" s="154"/>
    </row>
    <row r="66" ht="15.75" customHeight="1">
      <c r="D66" s="128"/>
      <c r="G66" s="153"/>
      <c r="H66" s="154"/>
      <c r="I66" s="154"/>
      <c r="J66" s="154"/>
    </row>
    <row r="67" ht="15.75" customHeight="1">
      <c r="D67" s="128"/>
      <c r="G67" s="153"/>
      <c r="H67" s="154"/>
      <c r="I67" s="154"/>
      <c r="J67" s="154"/>
    </row>
    <row r="68" ht="15.75" customHeight="1">
      <c r="D68" s="128"/>
      <c r="G68" s="153"/>
      <c r="H68" s="154"/>
      <c r="I68" s="154"/>
      <c r="J68" s="154"/>
    </row>
    <row r="69" ht="15.75" customHeight="1">
      <c r="D69" s="128"/>
      <c r="G69" s="153"/>
      <c r="H69" s="154"/>
      <c r="I69" s="154"/>
      <c r="J69" s="154"/>
    </row>
    <row r="70" ht="15.75" customHeight="1">
      <c r="D70" s="128"/>
      <c r="G70" s="153"/>
      <c r="H70" s="154"/>
      <c r="I70" s="154"/>
      <c r="J70" s="154"/>
    </row>
    <row r="71" ht="15.75" customHeight="1">
      <c r="D71" s="128"/>
      <c r="G71" s="153"/>
      <c r="H71" s="154"/>
      <c r="I71" s="154"/>
      <c r="J71" s="154"/>
    </row>
    <row r="72" ht="15.75" customHeight="1">
      <c r="D72" s="128"/>
      <c r="G72" s="153"/>
      <c r="H72" s="154"/>
      <c r="I72" s="154"/>
      <c r="J72" s="154"/>
    </row>
    <row r="73" ht="15.75" customHeight="1">
      <c r="D73" s="128"/>
      <c r="G73" s="153"/>
      <c r="H73" s="154"/>
      <c r="I73" s="154"/>
      <c r="J73" s="154"/>
    </row>
    <row r="74" ht="15.75" customHeight="1">
      <c r="D74" s="128"/>
      <c r="G74" s="153"/>
      <c r="H74" s="154"/>
      <c r="I74" s="154"/>
      <c r="J74" s="154"/>
    </row>
    <row r="75" ht="15.75" customHeight="1">
      <c r="D75" s="128"/>
      <c r="G75" s="153"/>
      <c r="H75" s="154"/>
      <c r="I75" s="154"/>
      <c r="J75" s="154"/>
    </row>
    <row r="76" ht="15.75" customHeight="1">
      <c r="D76" s="128"/>
      <c r="G76" s="153"/>
      <c r="H76" s="154"/>
      <c r="I76" s="154"/>
      <c r="J76" s="154"/>
    </row>
    <row r="77" ht="15.75" customHeight="1">
      <c r="D77" s="128"/>
      <c r="G77" s="153"/>
      <c r="H77" s="154"/>
      <c r="I77" s="154"/>
      <c r="J77" s="154"/>
    </row>
    <row r="78" ht="15.75" customHeight="1">
      <c r="D78" s="128"/>
      <c r="G78" s="153"/>
      <c r="H78" s="154"/>
      <c r="I78" s="154"/>
      <c r="J78" s="154"/>
    </row>
    <row r="79" ht="15.75" customHeight="1">
      <c r="D79" s="128"/>
      <c r="G79" s="153"/>
      <c r="H79" s="154"/>
      <c r="I79" s="154"/>
      <c r="J79" s="154"/>
    </row>
    <row r="80" ht="15.75" customHeight="1">
      <c r="D80" s="128"/>
      <c r="G80" s="153"/>
      <c r="H80" s="154"/>
      <c r="I80" s="154"/>
      <c r="J80" s="154"/>
    </row>
    <row r="81" ht="15.75" customHeight="1">
      <c r="D81" s="128"/>
      <c r="G81" s="153"/>
      <c r="H81" s="154"/>
      <c r="I81" s="154"/>
      <c r="J81" s="154"/>
    </row>
    <row r="82" ht="15.75" customHeight="1">
      <c r="D82" s="128"/>
      <c r="G82" s="153"/>
      <c r="H82" s="154"/>
      <c r="I82" s="154"/>
      <c r="J82" s="154"/>
    </row>
    <row r="83" ht="15.75" customHeight="1">
      <c r="D83" s="128"/>
      <c r="G83" s="153"/>
      <c r="H83" s="154"/>
      <c r="I83" s="154"/>
      <c r="J83" s="154"/>
    </row>
    <row r="84" ht="15.75" customHeight="1">
      <c r="D84" s="128"/>
      <c r="G84" s="153"/>
      <c r="H84" s="154"/>
      <c r="I84" s="154"/>
      <c r="J84" s="154"/>
    </row>
    <row r="85" ht="15.75" customHeight="1">
      <c r="D85" s="128"/>
      <c r="G85" s="153"/>
      <c r="H85" s="154"/>
      <c r="I85" s="154"/>
      <c r="J85" s="154"/>
    </row>
    <row r="86" ht="15.75" customHeight="1">
      <c r="D86" s="128"/>
      <c r="G86" s="153"/>
      <c r="H86" s="154"/>
      <c r="I86" s="154"/>
      <c r="J86" s="154"/>
    </row>
    <row r="87" ht="15.75" customHeight="1">
      <c r="D87" s="128"/>
      <c r="G87" s="153"/>
      <c r="H87" s="154"/>
      <c r="I87" s="154"/>
      <c r="J87" s="154"/>
    </row>
    <row r="88" ht="15.75" customHeight="1">
      <c r="D88" s="128"/>
      <c r="G88" s="153"/>
      <c r="H88" s="154"/>
      <c r="I88" s="154"/>
      <c r="J88" s="154"/>
    </row>
    <row r="89" ht="15.75" customHeight="1">
      <c r="D89" s="128"/>
      <c r="G89" s="153"/>
      <c r="H89" s="154"/>
      <c r="I89" s="154"/>
      <c r="J89" s="154"/>
    </row>
    <row r="90" ht="15.75" customHeight="1">
      <c r="D90" s="128"/>
      <c r="G90" s="153"/>
      <c r="H90" s="154"/>
      <c r="I90" s="154"/>
      <c r="J90" s="154"/>
    </row>
    <row r="91" ht="15.75" customHeight="1">
      <c r="D91" s="128"/>
      <c r="G91" s="153"/>
      <c r="H91" s="154"/>
      <c r="I91" s="154"/>
      <c r="J91" s="154"/>
    </row>
    <row r="92" ht="15.75" customHeight="1">
      <c r="D92" s="128"/>
      <c r="G92" s="153"/>
      <c r="H92" s="154"/>
      <c r="I92" s="154"/>
      <c r="J92" s="154"/>
    </row>
    <row r="93" ht="15.75" customHeight="1">
      <c r="D93" s="128"/>
      <c r="G93" s="153"/>
      <c r="H93" s="154"/>
      <c r="I93" s="154"/>
      <c r="J93" s="154"/>
    </row>
    <row r="94" ht="15.75" customHeight="1">
      <c r="D94" s="128"/>
      <c r="G94" s="153"/>
      <c r="H94" s="154"/>
      <c r="I94" s="154"/>
      <c r="J94" s="154"/>
    </row>
    <row r="95" ht="15.75" customHeight="1">
      <c r="D95" s="128"/>
      <c r="G95" s="153"/>
      <c r="H95" s="154"/>
      <c r="I95" s="154"/>
      <c r="J95" s="154"/>
    </row>
    <row r="96" ht="15.75" customHeight="1">
      <c r="D96" s="128"/>
      <c r="G96" s="153"/>
      <c r="H96" s="154"/>
      <c r="I96" s="154"/>
      <c r="J96" s="154"/>
    </row>
    <row r="97" ht="15.75" customHeight="1">
      <c r="D97" s="128"/>
      <c r="G97" s="153"/>
      <c r="H97" s="154"/>
      <c r="I97" s="154"/>
      <c r="J97" s="154"/>
    </row>
    <row r="98" ht="15.75" customHeight="1">
      <c r="D98" s="128"/>
      <c r="G98" s="153"/>
      <c r="H98" s="154"/>
      <c r="I98" s="154"/>
      <c r="J98" s="154"/>
    </row>
    <row r="99" ht="15.75" customHeight="1">
      <c r="D99" s="128"/>
      <c r="G99" s="153"/>
      <c r="H99" s="154"/>
      <c r="I99" s="154"/>
      <c r="J99" s="154"/>
    </row>
    <row r="100" ht="15.75" customHeight="1">
      <c r="D100" s="128"/>
      <c r="G100" s="153"/>
      <c r="H100" s="154"/>
      <c r="I100" s="154"/>
      <c r="J100" s="154"/>
    </row>
    <row r="101" ht="15.75" customHeight="1">
      <c r="D101" s="128"/>
      <c r="G101" s="153"/>
      <c r="H101" s="154"/>
      <c r="I101" s="154"/>
      <c r="J101" s="154"/>
    </row>
    <row r="102" ht="15.75" customHeight="1">
      <c r="D102" s="128"/>
      <c r="G102" s="153"/>
      <c r="H102" s="154"/>
      <c r="I102" s="154"/>
      <c r="J102" s="154"/>
    </row>
    <row r="103" ht="15.75" customHeight="1">
      <c r="D103" s="128"/>
      <c r="G103" s="153"/>
      <c r="H103" s="154"/>
      <c r="I103" s="154"/>
      <c r="J103" s="154"/>
    </row>
    <row r="104" ht="15.75" customHeight="1">
      <c r="D104" s="128"/>
      <c r="G104" s="153"/>
      <c r="H104" s="154"/>
      <c r="I104" s="154"/>
      <c r="J104" s="154"/>
    </row>
    <row r="105" ht="15.75" customHeight="1">
      <c r="D105" s="128"/>
      <c r="G105" s="153"/>
      <c r="H105" s="154"/>
      <c r="I105" s="154"/>
      <c r="J105" s="154"/>
    </row>
    <row r="106" ht="15.75" customHeight="1">
      <c r="D106" s="128"/>
      <c r="G106" s="153"/>
      <c r="H106" s="154"/>
      <c r="I106" s="154"/>
      <c r="J106" s="154"/>
    </row>
    <row r="107" ht="15.75" customHeight="1">
      <c r="D107" s="128"/>
      <c r="G107" s="153"/>
      <c r="H107" s="154"/>
      <c r="I107" s="154"/>
      <c r="J107" s="154"/>
    </row>
    <row r="108" ht="15.75" customHeight="1">
      <c r="D108" s="128"/>
      <c r="G108" s="153"/>
      <c r="H108" s="154"/>
      <c r="I108" s="154"/>
      <c r="J108" s="154"/>
    </row>
    <row r="109" ht="15.75" customHeight="1">
      <c r="D109" s="128"/>
      <c r="G109" s="153"/>
      <c r="H109" s="154"/>
      <c r="I109" s="154"/>
      <c r="J109" s="154"/>
    </row>
    <row r="110" ht="15.75" customHeight="1">
      <c r="D110" s="128"/>
      <c r="G110" s="153"/>
      <c r="H110" s="154"/>
      <c r="I110" s="154"/>
      <c r="J110" s="154"/>
    </row>
    <row r="111" ht="15.75" customHeight="1">
      <c r="D111" s="128"/>
      <c r="G111" s="153"/>
      <c r="H111" s="154"/>
      <c r="I111" s="154"/>
      <c r="J111" s="154"/>
    </row>
    <row r="112" ht="15.75" customHeight="1">
      <c r="D112" s="128"/>
      <c r="G112" s="153"/>
      <c r="H112" s="154"/>
      <c r="I112" s="154"/>
      <c r="J112" s="154"/>
    </row>
    <row r="113" ht="15.75" customHeight="1">
      <c r="D113" s="128"/>
      <c r="G113" s="153"/>
      <c r="H113" s="154"/>
      <c r="I113" s="154"/>
      <c r="J113" s="154"/>
    </row>
    <row r="114" ht="15.75" customHeight="1">
      <c r="D114" s="128"/>
      <c r="G114" s="153"/>
      <c r="H114" s="154"/>
      <c r="I114" s="154"/>
      <c r="J114" s="154"/>
    </row>
    <row r="115" ht="15.75" customHeight="1">
      <c r="D115" s="128"/>
      <c r="G115" s="153"/>
      <c r="H115" s="154"/>
      <c r="I115" s="154"/>
      <c r="J115" s="154"/>
    </row>
    <row r="116" ht="15.75" customHeight="1">
      <c r="D116" s="128"/>
      <c r="G116" s="153"/>
      <c r="H116" s="154"/>
      <c r="I116" s="154"/>
      <c r="J116" s="154"/>
    </row>
    <row r="117" ht="15.75" customHeight="1">
      <c r="D117" s="128"/>
      <c r="G117" s="153"/>
      <c r="H117" s="154"/>
      <c r="I117" s="154"/>
      <c r="J117" s="154"/>
    </row>
    <row r="118" ht="15.75" customHeight="1">
      <c r="D118" s="128"/>
      <c r="G118" s="153"/>
      <c r="H118" s="154"/>
      <c r="I118" s="154"/>
      <c r="J118" s="154"/>
    </row>
    <row r="119" ht="15.75" customHeight="1">
      <c r="D119" s="128"/>
      <c r="G119" s="153"/>
      <c r="H119" s="154"/>
      <c r="I119" s="154"/>
      <c r="J119" s="154"/>
    </row>
    <row r="120" ht="15.75" customHeight="1">
      <c r="D120" s="128"/>
      <c r="G120" s="153"/>
      <c r="H120" s="154"/>
      <c r="I120" s="154"/>
      <c r="J120" s="154"/>
    </row>
    <row r="121" ht="15.75" customHeight="1">
      <c r="D121" s="128"/>
      <c r="G121" s="153"/>
      <c r="H121" s="154"/>
      <c r="I121" s="154"/>
      <c r="J121" s="154"/>
    </row>
    <row r="122" ht="15.75" customHeight="1">
      <c r="D122" s="128"/>
      <c r="G122" s="153"/>
      <c r="H122" s="154"/>
      <c r="I122" s="154"/>
      <c r="J122" s="154"/>
    </row>
    <row r="123" ht="15.75" customHeight="1">
      <c r="D123" s="128"/>
      <c r="G123" s="153"/>
      <c r="H123" s="154"/>
      <c r="I123" s="154"/>
      <c r="J123" s="154"/>
    </row>
    <row r="124" ht="15.75" customHeight="1">
      <c r="D124" s="128"/>
      <c r="G124" s="153"/>
      <c r="H124" s="154"/>
      <c r="I124" s="154"/>
      <c r="J124" s="154"/>
    </row>
    <row r="125" ht="15.75" customHeight="1">
      <c r="D125" s="128"/>
      <c r="G125" s="153"/>
      <c r="H125" s="154"/>
      <c r="I125" s="154"/>
      <c r="J125" s="154"/>
    </row>
    <row r="126" ht="15.75" customHeight="1">
      <c r="D126" s="128"/>
      <c r="G126" s="153"/>
      <c r="H126" s="154"/>
      <c r="I126" s="154"/>
      <c r="J126" s="154"/>
    </row>
    <row r="127" ht="15.75" customHeight="1">
      <c r="D127" s="128"/>
      <c r="G127" s="153"/>
      <c r="H127" s="154"/>
      <c r="I127" s="154"/>
      <c r="J127" s="154"/>
    </row>
    <row r="128" ht="15.75" customHeight="1">
      <c r="D128" s="128"/>
      <c r="G128" s="153"/>
      <c r="H128" s="154"/>
      <c r="I128" s="154"/>
      <c r="J128" s="154"/>
    </row>
    <row r="129" ht="15.75" customHeight="1">
      <c r="D129" s="128"/>
      <c r="G129" s="153"/>
      <c r="H129" s="154"/>
      <c r="I129" s="154"/>
      <c r="J129" s="154"/>
    </row>
    <row r="130" ht="15.75" customHeight="1">
      <c r="D130" s="128"/>
      <c r="G130" s="153"/>
      <c r="H130" s="154"/>
      <c r="I130" s="154"/>
      <c r="J130" s="154"/>
    </row>
    <row r="131" ht="15.75" customHeight="1">
      <c r="D131" s="128"/>
      <c r="G131" s="153"/>
      <c r="H131" s="154"/>
      <c r="I131" s="154"/>
      <c r="J131" s="154"/>
    </row>
    <row r="132" ht="15.75" customHeight="1">
      <c r="D132" s="128"/>
      <c r="G132" s="153"/>
      <c r="H132" s="154"/>
      <c r="I132" s="154"/>
      <c r="J132" s="154"/>
    </row>
    <row r="133" ht="15.75" customHeight="1">
      <c r="D133" s="128"/>
      <c r="G133" s="153"/>
      <c r="H133" s="154"/>
      <c r="I133" s="154"/>
      <c r="J133" s="154"/>
    </row>
    <row r="134" ht="15.75" customHeight="1">
      <c r="D134" s="128"/>
      <c r="G134" s="153"/>
      <c r="H134" s="154"/>
      <c r="I134" s="154"/>
      <c r="J134" s="154"/>
    </row>
    <row r="135" ht="15.75" customHeight="1">
      <c r="D135" s="128"/>
      <c r="G135" s="153"/>
      <c r="H135" s="154"/>
      <c r="I135" s="154"/>
      <c r="J135" s="154"/>
    </row>
    <row r="136" ht="15.75" customHeight="1">
      <c r="D136" s="128"/>
      <c r="G136" s="153"/>
      <c r="H136" s="154"/>
      <c r="I136" s="154"/>
      <c r="J136" s="154"/>
    </row>
    <row r="137" ht="15.75" customHeight="1">
      <c r="D137" s="128"/>
      <c r="G137" s="153"/>
      <c r="H137" s="154"/>
      <c r="I137" s="154"/>
      <c r="J137" s="154"/>
    </row>
    <row r="138" ht="15.75" customHeight="1">
      <c r="D138" s="128"/>
      <c r="G138" s="153"/>
      <c r="H138" s="154"/>
      <c r="I138" s="154"/>
      <c r="J138" s="154"/>
    </row>
    <row r="139" ht="15.75" customHeight="1">
      <c r="D139" s="128"/>
      <c r="G139" s="153"/>
      <c r="H139" s="154"/>
      <c r="I139" s="154"/>
      <c r="J139" s="154"/>
    </row>
    <row r="140" ht="15.75" customHeight="1">
      <c r="D140" s="128"/>
      <c r="G140" s="153"/>
      <c r="H140" s="154"/>
      <c r="I140" s="154"/>
      <c r="J140" s="154"/>
    </row>
    <row r="141" ht="15.75" customHeight="1">
      <c r="D141" s="128"/>
      <c r="G141" s="153"/>
      <c r="H141" s="154"/>
      <c r="I141" s="154"/>
      <c r="J141" s="154"/>
    </row>
    <row r="142" ht="15.75" customHeight="1">
      <c r="D142" s="128"/>
      <c r="G142" s="153"/>
      <c r="H142" s="154"/>
      <c r="I142" s="154"/>
      <c r="J142" s="154"/>
    </row>
    <row r="143" ht="15.75" customHeight="1">
      <c r="D143" s="128"/>
      <c r="G143" s="153"/>
      <c r="H143" s="154"/>
      <c r="I143" s="154"/>
      <c r="J143" s="154"/>
    </row>
    <row r="144" ht="15.75" customHeight="1">
      <c r="D144" s="128"/>
      <c r="G144" s="153"/>
      <c r="H144" s="154"/>
      <c r="I144" s="154"/>
      <c r="J144" s="154"/>
    </row>
    <row r="145" ht="15.75" customHeight="1">
      <c r="D145" s="128"/>
      <c r="G145" s="153"/>
      <c r="H145" s="154"/>
      <c r="I145" s="154"/>
      <c r="J145" s="154"/>
    </row>
    <row r="146" ht="15.75" customHeight="1">
      <c r="D146" s="128"/>
      <c r="G146" s="153"/>
      <c r="H146" s="154"/>
      <c r="I146" s="154"/>
      <c r="J146" s="154"/>
    </row>
    <row r="147" ht="15.75" customHeight="1">
      <c r="D147" s="128"/>
      <c r="G147" s="153"/>
      <c r="H147" s="154"/>
      <c r="I147" s="154"/>
      <c r="J147" s="154"/>
    </row>
    <row r="148" ht="15.75" customHeight="1">
      <c r="D148" s="128"/>
      <c r="G148" s="153"/>
      <c r="H148" s="154"/>
      <c r="I148" s="154"/>
      <c r="J148" s="154"/>
    </row>
    <row r="149" ht="15.75" customHeight="1">
      <c r="D149" s="128"/>
      <c r="G149" s="153"/>
      <c r="H149" s="154"/>
      <c r="I149" s="154"/>
      <c r="J149" s="154"/>
    </row>
    <row r="150" ht="15.75" customHeight="1">
      <c r="D150" s="128"/>
      <c r="G150" s="153"/>
      <c r="H150" s="154"/>
      <c r="I150" s="154"/>
      <c r="J150" s="154"/>
    </row>
    <row r="151" ht="15.75" customHeight="1">
      <c r="D151" s="128"/>
      <c r="G151" s="153"/>
      <c r="H151" s="154"/>
      <c r="I151" s="154"/>
      <c r="J151" s="154"/>
    </row>
    <row r="152" ht="15.75" customHeight="1">
      <c r="D152" s="128"/>
      <c r="G152" s="153"/>
      <c r="H152" s="154"/>
      <c r="I152" s="154"/>
      <c r="J152" s="154"/>
    </row>
    <row r="153" ht="15.75" customHeight="1">
      <c r="D153" s="128"/>
      <c r="G153" s="153"/>
      <c r="H153" s="154"/>
      <c r="I153" s="154"/>
      <c r="J153" s="154"/>
    </row>
    <row r="154" ht="15.75" customHeight="1">
      <c r="D154" s="128"/>
      <c r="G154" s="153"/>
      <c r="H154" s="154"/>
      <c r="I154" s="154"/>
      <c r="J154" s="154"/>
    </row>
    <row r="155" ht="15.75" customHeight="1">
      <c r="D155" s="128"/>
      <c r="G155" s="153"/>
      <c r="H155" s="154"/>
      <c r="I155" s="154"/>
      <c r="J155" s="154"/>
    </row>
    <row r="156" ht="15.75" customHeight="1">
      <c r="D156" s="128"/>
      <c r="G156" s="153"/>
      <c r="H156" s="154"/>
      <c r="I156" s="154"/>
      <c r="J156" s="154"/>
    </row>
    <row r="157" ht="15.75" customHeight="1">
      <c r="D157" s="128"/>
      <c r="G157" s="153"/>
      <c r="H157" s="154"/>
      <c r="I157" s="154"/>
      <c r="J157" s="154"/>
    </row>
    <row r="158" ht="15.75" customHeight="1">
      <c r="D158" s="128"/>
      <c r="G158" s="153"/>
      <c r="H158" s="154"/>
      <c r="I158" s="154"/>
      <c r="J158" s="154"/>
    </row>
    <row r="159" ht="15.75" customHeight="1">
      <c r="D159" s="128"/>
      <c r="G159" s="153"/>
      <c r="H159" s="154"/>
      <c r="I159" s="154"/>
      <c r="J159" s="154"/>
    </row>
    <row r="160" ht="15.75" customHeight="1">
      <c r="D160" s="128"/>
      <c r="G160" s="153"/>
      <c r="H160" s="154"/>
      <c r="I160" s="154"/>
      <c r="J160" s="154"/>
    </row>
    <row r="161" ht="15.75" customHeight="1">
      <c r="D161" s="128"/>
      <c r="G161" s="153"/>
      <c r="H161" s="154"/>
      <c r="I161" s="154"/>
      <c r="J161" s="154"/>
    </row>
    <row r="162" ht="15.75" customHeight="1">
      <c r="D162" s="128"/>
      <c r="G162" s="153"/>
      <c r="H162" s="154"/>
      <c r="I162" s="154"/>
      <c r="J162" s="154"/>
    </row>
    <row r="163" ht="15.75" customHeight="1">
      <c r="D163" s="128"/>
      <c r="G163" s="153"/>
      <c r="H163" s="154"/>
      <c r="I163" s="154"/>
      <c r="J163" s="154"/>
    </row>
    <row r="164" ht="15.75" customHeight="1">
      <c r="D164" s="128"/>
      <c r="G164" s="153"/>
      <c r="H164" s="154"/>
      <c r="I164" s="154"/>
      <c r="J164" s="154"/>
    </row>
    <row r="165" ht="15.75" customHeight="1">
      <c r="D165" s="128"/>
      <c r="G165" s="153"/>
      <c r="H165" s="154"/>
      <c r="I165" s="154"/>
      <c r="J165" s="154"/>
    </row>
    <row r="166" ht="15.75" customHeight="1">
      <c r="D166" s="128"/>
      <c r="G166" s="153"/>
      <c r="H166" s="154"/>
      <c r="I166" s="154"/>
      <c r="J166" s="154"/>
    </row>
    <row r="167" ht="15.75" customHeight="1">
      <c r="D167" s="128"/>
      <c r="G167" s="153"/>
      <c r="H167" s="154"/>
      <c r="I167" s="154"/>
      <c r="J167" s="154"/>
    </row>
    <row r="168" ht="15.75" customHeight="1">
      <c r="D168" s="128"/>
      <c r="G168" s="153"/>
      <c r="H168" s="154"/>
      <c r="I168" s="154"/>
      <c r="J168" s="154"/>
    </row>
    <row r="169" ht="15.75" customHeight="1">
      <c r="D169" s="128"/>
      <c r="G169" s="153"/>
      <c r="H169" s="154"/>
      <c r="I169" s="154"/>
      <c r="J169" s="154"/>
    </row>
    <row r="170" ht="15.75" customHeight="1">
      <c r="D170" s="128"/>
      <c r="G170" s="153"/>
      <c r="H170" s="154"/>
      <c r="I170" s="154"/>
      <c r="J170" s="154"/>
    </row>
    <row r="171" ht="15.75" customHeight="1">
      <c r="D171" s="128"/>
      <c r="G171" s="153"/>
      <c r="H171" s="154"/>
      <c r="I171" s="154"/>
      <c r="J171" s="154"/>
    </row>
    <row r="172" ht="15.75" customHeight="1">
      <c r="D172" s="128"/>
      <c r="G172" s="153"/>
      <c r="H172" s="154"/>
      <c r="I172" s="154"/>
      <c r="J172" s="154"/>
    </row>
    <row r="173" ht="15.75" customHeight="1">
      <c r="D173" s="128"/>
      <c r="G173" s="153"/>
      <c r="H173" s="154"/>
      <c r="I173" s="154"/>
      <c r="J173" s="154"/>
    </row>
    <row r="174" ht="15.75" customHeight="1">
      <c r="D174" s="128"/>
      <c r="G174" s="153"/>
      <c r="H174" s="154"/>
      <c r="I174" s="154"/>
      <c r="J174" s="154"/>
    </row>
    <row r="175" ht="15.75" customHeight="1">
      <c r="D175" s="128"/>
      <c r="G175" s="153"/>
      <c r="H175" s="154"/>
      <c r="I175" s="154"/>
      <c r="J175" s="154"/>
    </row>
    <row r="176" ht="15.75" customHeight="1">
      <c r="D176" s="128"/>
      <c r="G176" s="153"/>
      <c r="H176" s="154"/>
      <c r="I176" s="154"/>
      <c r="J176" s="154"/>
    </row>
    <row r="177" ht="15.75" customHeight="1">
      <c r="D177" s="128"/>
      <c r="G177" s="153"/>
      <c r="H177" s="154"/>
      <c r="I177" s="154"/>
      <c r="J177" s="154"/>
    </row>
    <row r="178" ht="15.75" customHeight="1">
      <c r="D178" s="128"/>
      <c r="G178" s="153"/>
      <c r="H178" s="154"/>
      <c r="I178" s="154"/>
      <c r="J178" s="154"/>
    </row>
    <row r="179" ht="15.75" customHeight="1">
      <c r="D179" s="128"/>
      <c r="G179" s="153"/>
      <c r="H179" s="154"/>
      <c r="I179" s="154"/>
      <c r="J179" s="154"/>
    </row>
    <row r="180" ht="15.75" customHeight="1">
      <c r="D180" s="128"/>
      <c r="G180" s="153"/>
      <c r="H180" s="154"/>
      <c r="I180" s="154"/>
      <c r="J180" s="154"/>
    </row>
    <row r="181" ht="15.75" customHeight="1">
      <c r="D181" s="128"/>
      <c r="G181" s="153"/>
      <c r="H181" s="154"/>
      <c r="I181" s="154"/>
      <c r="J181" s="154"/>
    </row>
    <row r="182" ht="15.75" customHeight="1">
      <c r="D182" s="128"/>
      <c r="G182" s="153"/>
      <c r="H182" s="154"/>
      <c r="I182" s="154"/>
      <c r="J182" s="154"/>
    </row>
    <row r="183" ht="15.75" customHeight="1">
      <c r="D183" s="128"/>
      <c r="G183" s="153"/>
      <c r="H183" s="154"/>
      <c r="I183" s="154"/>
      <c r="J183" s="154"/>
    </row>
    <row r="184" ht="15.75" customHeight="1">
      <c r="D184" s="128"/>
      <c r="G184" s="153"/>
      <c r="H184" s="154"/>
      <c r="I184" s="154"/>
      <c r="J184" s="154"/>
    </row>
    <row r="185" ht="15.75" customHeight="1">
      <c r="D185" s="128"/>
      <c r="G185" s="153"/>
      <c r="H185" s="154"/>
      <c r="I185" s="154"/>
      <c r="J185" s="154"/>
    </row>
    <row r="186" ht="15.75" customHeight="1">
      <c r="D186" s="128"/>
      <c r="G186" s="153"/>
      <c r="H186" s="154"/>
      <c r="I186" s="154"/>
      <c r="J186" s="154"/>
    </row>
    <row r="187" ht="15.75" customHeight="1">
      <c r="D187" s="128"/>
      <c r="G187" s="153"/>
      <c r="H187" s="154"/>
      <c r="I187" s="154"/>
      <c r="J187" s="154"/>
    </row>
    <row r="188" ht="15.75" customHeight="1">
      <c r="D188" s="128"/>
      <c r="G188" s="153"/>
      <c r="H188" s="154"/>
      <c r="I188" s="154"/>
      <c r="J188" s="154"/>
    </row>
    <row r="189" ht="15.75" customHeight="1">
      <c r="D189" s="128"/>
      <c r="G189" s="153"/>
      <c r="H189" s="154"/>
      <c r="I189" s="154"/>
      <c r="J189" s="154"/>
    </row>
    <row r="190" ht="15.75" customHeight="1">
      <c r="D190" s="128"/>
      <c r="G190" s="153"/>
      <c r="H190" s="154"/>
      <c r="I190" s="154"/>
      <c r="J190" s="154"/>
    </row>
    <row r="191" ht="15.75" customHeight="1">
      <c r="D191" s="128"/>
      <c r="G191" s="153"/>
      <c r="H191" s="154"/>
      <c r="I191" s="154"/>
      <c r="J191" s="154"/>
    </row>
    <row r="192" ht="15.75" customHeight="1">
      <c r="D192" s="128"/>
      <c r="G192" s="153"/>
      <c r="H192" s="154"/>
      <c r="I192" s="154"/>
      <c r="J192" s="154"/>
    </row>
    <row r="193" ht="15.75" customHeight="1">
      <c r="D193" s="128"/>
      <c r="G193" s="153"/>
      <c r="H193" s="154"/>
      <c r="I193" s="154"/>
      <c r="J193" s="154"/>
    </row>
    <row r="194" ht="15.75" customHeight="1">
      <c r="D194" s="128"/>
      <c r="G194" s="153"/>
      <c r="H194" s="154"/>
      <c r="I194" s="154"/>
      <c r="J194" s="154"/>
    </row>
    <row r="195" ht="15.75" customHeight="1">
      <c r="D195" s="128"/>
      <c r="G195" s="153"/>
      <c r="H195" s="154"/>
      <c r="I195" s="154"/>
      <c r="J195" s="154"/>
    </row>
    <row r="196" ht="15.75" customHeight="1">
      <c r="D196" s="128"/>
      <c r="G196" s="153"/>
      <c r="H196" s="154"/>
      <c r="I196" s="154"/>
      <c r="J196" s="154"/>
    </row>
    <row r="197" ht="15.75" customHeight="1">
      <c r="D197" s="128"/>
      <c r="G197" s="153"/>
      <c r="H197" s="154"/>
      <c r="I197" s="154"/>
      <c r="J197" s="154"/>
    </row>
    <row r="198" ht="15.75" customHeight="1">
      <c r="D198" s="128"/>
      <c r="G198" s="153"/>
      <c r="H198" s="154"/>
      <c r="I198" s="154"/>
      <c r="J198" s="154"/>
    </row>
    <row r="199" ht="15.75" customHeight="1">
      <c r="D199" s="128"/>
      <c r="G199" s="153"/>
      <c r="H199" s="154"/>
      <c r="I199" s="154"/>
      <c r="J199" s="154"/>
    </row>
    <row r="200" ht="15.75" customHeight="1">
      <c r="D200" s="128"/>
      <c r="G200" s="153"/>
      <c r="H200" s="154"/>
      <c r="I200" s="154"/>
      <c r="J200" s="154"/>
    </row>
    <row r="201" ht="15.75" customHeight="1">
      <c r="D201" s="128"/>
      <c r="G201" s="153"/>
      <c r="H201" s="154"/>
      <c r="I201" s="154"/>
      <c r="J201" s="154"/>
    </row>
    <row r="202" ht="15.75" customHeight="1">
      <c r="D202" s="128"/>
      <c r="G202" s="153"/>
      <c r="H202" s="154"/>
      <c r="I202" s="154"/>
      <c r="J202" s="154"/>
    </row>
    <row r="203" ht="15.75" customHeight="1">
      <c r="D203" s="128"/>
      <c r="G203" s="153"/>
      <c r="H203" s="154"/>
      <c r="I203" s="154"/>
      <c r="J203" s="154"/>
    </row>
    <row r="204" ht="15.75" customHeight="1">
      <c r="D204" s="128"/>
      <c r="G204" s="153"/>
      <c r="H204" s="154"/>
      <c r="I204" s="154"/>
      <c r="J204" s="154"/>
    </row>
    <row r="205" ht="15.75" customHeight="1">
      <c r="D205" s="128"/>
      <c r="G205" s="153"/>
      <c r="H205" s="154"/>
      <c r="I205" s="154"/>
      <c r="J205" s="154"/>
    </row>
    <row r="206" ht="15.75" customHeight="1">
      <c r="D206" s="128"/>
      <c r="G206" s="153"/>
      <c r="H206" s="154"/>
      <c r="I206" s="154"/>
      <c r="J206" s="154"/>
    </row>
    <row r="207" ht="15.75" customHeight="1">
      <c r="D207" s="128"/>
      <c r="G207" s="153"/>
      <c r="H207" s="154"/>
      <c r="I207" s="154"/>
      <c r="J207" s="154"/>
    </row>
    <row r="208" ht="15.75" customHeight="1">
      <c r="D208" s="128"/>
      <c r="G208" s="153"/>
      <c r="H208" s="154"/>
      <c r="I208" s="154"/>
      <c r="J208" s="154"/>
    </row>
    <row r="209" ht="15.75" customHeight="1">
      <c r="D209" s="128"/>
      <c r="G209" s="153"/>
      <c r="H209" s="154"/>
      <c r="I209" s="154"/>
      <c r="J209" s="154"/>
    </row>
    <row r="210" ht="15.75" customHeight="1">
      <c r="D210" s="128"/>
      <c r="G210" s="153"/>
      <c r="H210" s="154"/>
      <c r="I210" s="154"/>
      <c r="J210" s="154"/>
    </row>
    <row r="211" ht="15.75" customHeight="1">
      <c r="D211" s="128"/>
      <c r="G211" s="153"/>
      <c r="H211" s="154"/>
      <c r="I211" s="154"/>
      <c r="J211" s="154"/>
    </row>
    <row r="212" ht="15.75" customHeight="1">
      <c r="D212" s="128"/>
      <c r="G212" s="153"/>
      <c r="H212" s="154"/>
      <c r="I212" s="154"/>
      <c r="J212" s="154"/>
    </row>
    <row r="213" ht="15.75" customHeight="1">
      <c r="D213" s="128"/>
      <c r="G213" s="153"/>
      <c r="H213" s="154"/>
      <c r="I213" s="154"/>
      <c r="J213" s="154"/>
    </row>
    <row r="214" ht="15.75" customHeight="1">
      <c r="D214" s="128"/>
      <c r="G214" s="153"/>
      <c r="H214" s="154"/>
      <c r="I214" s="154"/>
      <c r="J214" s="154"/>
    </row>
    <row r="215" ht="15.75" customHeight="1">
      <c r="D215" s="128"/>
      <c r="G215" s="153"/>
      <c r="H215" s="154"/>
      <c r="I215" s="154"/>
      <c r="J215" s="154"/>
    </row>
    <row r="216" ht="15.75" customHeight="1">
      <c r="D216" s="128"/>
      <c r="G216" s="153"/>
      <c r="H216" s="154"/>
      <c r="I216" s="154"/>
      <c r="J216" s="154"/>
    </row>
    <row r="217" ht="15.75" customHeight="1">
      <c r="D217" s="128"/>
      <c r="G217" s="153"/>
      <c r="H217" s="154"/>
      <c r="I217" s="154"/>
      <c r="J217" s="154"/>
    </row>
    <row r="218" ht="15.75" customHeight="1">
      <c r="D218" s="128"/>
      <c r="G218" s="153"/>
      <c r="H218" s="154"/>
      <c r="I218" s="154"/>
      <c r="J218" s="154"/>
    </row>
    <row r="219" ht="15.75" customHeight="1">
      <c r="D219" s="128"/>
      <c r="G219" s="153"/>
      <c r="H219" s="154"/>
      <c r="I219" s="154"/>
      <c r="J219" s="154"/>
    </row>
    <row r="220" ht="15.75" customHeight="1">
      <c r="D220" s="128"/>
      <c r="G220" s="153"/>
      <c r="H220" s="154"/>
      <c r="I220" s="154"/>
      <c r="J220" s="154"/>
    </row>
    <row r="221" ht="15.75" customHeight="1">
      <c r="D221" s="128"/>
      <c r="G221" s="153"/>
      <c r="H221" s="154"/>
      <c r="I221" s="154"/>
      <c r="J221" s="154"/>
    </row>
    <row r="222" ht="15.75" customHeight="1">
      <c r="D222" s="128"/>
      <c r="G222" s="153"/>
      <c r="H222" s="154"/>
      <c r="I222" s="154"/>
      <c r="J222" s="154"/>
    </row>
    <row r="223" ht="15.75" customHeight="1">
      <c r="D223" s="128"/>
      <c r="G223" s="153"/>
      <c r="H223" s="154"/>
      <c r="I223" s="154"/>
      <c r="J223" s="154"/>
    </row>
    <row r="224" ht="15.75" customHeight="1">
      <c r="D224" s="128"/>
      <c r="G224" s="153"/>
      <c r="H224" s="154"/>
      <c r="I224" s="154"/>
      <c r="J224" s="154"/>
    </row>
    <row r="225" ht="15.75" customHeight="1">
      <c r="D225" s="128"/>
      <c r="G225" s="153"/>
      <c r="H225" s="154"/>
      <c r="I225" s="154"/>
      <c r="J225" s="154"/>
    </row>
    <row r="226" ht="15.75" customHeight="1">
      <c r="D226" s="128"/>
      <c r="G226" s="153"/>
      <c r="H226" s="154"/>
      <c r="I226" s="154"/>
      <c r="J226" s="154"/>
    </row>
    <row r="227" ht="15.75" customHeight="1">
      <c r="D227" s="128"/>
      <c r="G227" s="153"/>
      <c r="H227" s="154"/>
      <c r="I227" s="154"/>
      <c r="J227" s="154"/>
    </row>
    <row r="228" ht="15.75" customHeight="1">
      <c r="D228" s="128"/>
      <c r="G228" s="153"/>
      <c r="H228" s="154"/>
      <c r="I228" s="154"/>
      <c r="J228" s="154"/>
    </row>
    <row r="229" ht="15.75" customHeight="1">
      <c r="D229" s="128"/>
      <c r="G229" s="153"/>
      <c r="H229" s="154"/>
      <c r="I229" s="154"/>
      <c r="J229" s="154"/>
    </row>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1:L1"/>
    <mergeCell ref="A22:B22"/>
    <mergeCell ref="A23:B23"/>
  </mergeCells>
  <conditionalFormatting sqref="A24:A29">
    <cfRule type="beginsWith" dxfId="0" priority="1" operator="beginsWith" text="P">
      <formula>LEFT((A24),LEN("P"))=("P")</formula>
    </cfRule>
  </conditionalFormatting>
  <conditionalFormatting sqref="A24:A29">
    <cfRule type="containsText" dxfId="1" priority="2" operator="containsText" text="N-P">
      <formula>NOT(ISERROR(SEARCH(("N-P"),(A24))))</formula>
    </cfRule>
  </conditionalFormatting>
  <conditionalFormatting sqref="A24:A29">
    <cfRule type="containsText" dxfId="2" priority="3" operator="containsText" text="R">
      <formula>NOT(ISERROR(SEARCH(("R"),(A24))))</formula>
    </cfRule>
  </conditionalFormatting>
  <conditionalFormatting sqref="A24:A29">
    <cfRule type="containsText" dxfId="3" priority="4" operator="containsText" text="A-S">
      <formula>NOT(ISERROR(SEARCH(("A-S"),(A24))))</formula>
    </cfRule>
  </conditionalFormatting>
  <conditionalFormatting sqref="A24:A29">
    <cfRule type="beginsWith" dxfId="4" priority="5" operator="beginsWith" text="S">
      <formula>LEFT((A24),LEN("S"))=("S")</formula>
    </cfRule>
  </conditionalFormatting>
  <conditionalFormatting sqref="D3:D15">
    <cfRule type="beginsWith" dxfId="0" priority="6" operator="beginsWith" text="P">
      <formula>LEFT((D3),LEN("P"))=("P")</formula>
    </cfRule>
  </conditionalFormatting>
  <conditionalFormatting sqref="D3:D15">
    <cfRule type="containsText" dxfId="1" priority="7" operator="containsText" text="N-P">
      <formula>NOT(ISERROR(SEARCH(("N-P"),(D3))))</formula>
    </cfRule>
  </conditionalFormatting>
  <conditionalFormatting sqref="D3:D15">
    <cfRule type="containsText" dxfId="2" priority="8" operator="containsText" text="R">
      <formula>NOT(ISERROR(SEARCH(("R"),(D3))))</formula>
    </cfRule>
  </conditionalFormatting>
  <conditionalFormatting sqref="D3:D15">
    <cfRule type="containsText" dxfId="3" priority="9" operator="containsText" text="A-S">
      <formula>NOT(ISERROR(SEARCH(("A-S"),(D3))))</formula>
    </cfRule>
  </conditionalFormatting>
  <conditionalFormatting sqref="D3:D15">
    <cfRule type="beginsWith" dxfId="4" priority="10" operator="beginsWith" text="S">
      <formula>LEFT((D3),LEN("S"))=("S")</formula>
    </cfRule>
  </conditionalFormatting>
  <dataValidations>
    <dataValidation type="list" allowBlank="1" showErrorMessage="1" sqref="D3:D15">
      <formula1>'17025 SAL'!$A$207:$A$212</formula1>
    </dataValidation>
  </dataValidations>
  <hyperlinks>
    <hyperlink r:id="rId4" ref="M3"/>
    <hyperlink r:id="rId5" ref="N3"/>
    <hyperlink r:id="rId6" ref="M13"/>
    <hyperlink r:id="rId7" ref="N13"/>
    <hyperlink r:id="rId8" ref="U13"/>
    <hyperlink r:id="rId9" ref="AI13"/>
    <hyperlink r:id="rId10" ref="M15"/>
  </hyperlinks>
  <printOptions/>
  <pageMargins bottom="0.75" footer="0.0" header="0.0" left="0.7" right="0.7" top="0.75"/>
  <pageSetup orientation="portrait"/>
  <drawing r:id="rId11"/>
  <legacyDrawing r:id="rId1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F0"/>
    <pageSetUpPr/>
  </sheetPr>
  <sheetViews>
    <sheetView showGridLines="0"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4.43" defaultRowHeight="15.0"/>
  <cols>
    <col customWidth="1" min="1" max="1" width="43.57"/>
    <col customWidth="1" min="2" max="2" width="40.86"/>
    <col customWidth="1" min="3" max="3" width="14.0"/>
    <col customWidth="1" min="4" max="4" width="11.29"/>
    <col customWidth="1" min="5" max="5" width="12.71"/>
    <col customWidth="1" min="6" max="6" width="18.57"/>
    <col customWidth="1" min="7" max="7" width="20.43"/>
    <col customWidth="1" min="8" max="8" width="21.0"/>
    <col customWidth="1" min="9" max="9" width="21.14"/>
    <col customWidth="1" min="10" max="10" width="25.86"/>
    <col customWidth="1" min="11" max="11" width="27.0"/>
    <col customWidth="1" min="12" max="12" width="45.43"/>
    <col customWidth="1" min="13" max="13" width="38.0"/>
    <col customWidth="1" min="14" max="14" width="35.71"/>
    <col customWidth="1" min="15" max="15" width="19.43"/>
    <col customWidth="1" min="16" max="16" width="18.14"/>
    <col customWidth="1" min="17" max="17" width="12.43"/>
    <col customWidth="1" min="18" max="18" width="42.43"/>
    <col customWidth="1" min="19" max="19" width="13.86"/>
    <col customWidth="1" min="20" max="20" width="22.29"/>
    <col customWidth="1" min="21" max="21" width="23.71"/>
    <col customWidth="1" min="22" max="22" width="33.14"/>
    <col customWidth="1" min="23" max="23" width="20.71"/>
    <col customWidth="1" min="24" max="24" width="20.29"/>
    <col customWidth="1" min="25" max="25" width="18.57"/>
    <col customWidth="1" min="26" max="26" width="19.29"/>
    <col customWidth="1" min="27" max="27" width="52.57"/>
    <col customWidth="1" min="28" max="28" width="26.43"/>
    <col customWidth="1" min="29" max="29" width="29.86"/>
    <col customWidth="1" min="30" max="30" width="42.14"/>
    <col customWidth="1" min="31" max="31" width="16.29"/>
    <col customWidth="1" min="32" max="32" width="15.71"/>
    <col customWidth="1" min="33" max="33" width="43.43"/>
    <col customWidth="1" min="34" max="34" width="14.86"/>
    <col customWidth="1" min="35" max="35" width="26.43"/>
    <col customWidth="1" min="36" max="36" width="25.43"/>
    <col customWidth="1" min="37" max="37" width="16.43"/>
    <col customWidth="1" min="38" max="38" width="39.71"/>
  </cols>
  <sheetData>
    <row r="1" ht="50.25" customHeight="1">
      <c r="A1" s="130"/>
      <c r="B1" s="14" t="s">
        <v>4939</v>
      </c>
      <c r="C1" s="10"/>
      <c r="D1" s="10"/>
      <c r="E1" s="10"/>
      <c r="F1" s="10"/>
      <c r="G1" s="10"/>
      <c r="H1" s="10"/>
      <c r="I1" s="10"/>
      <c r="J1" s="10"/>
      <c r="K1" s="157"/>
      <c r="L1" s="10"/>
      <c r="M1" s="109"/>
      <c r="N1" s="109"/>
      <c r="O1" s="109"/>
      <c r="P1" s="109"/>
      <c r="Q1" s="109"/>
      <c r="R1" s="109"/>
      <c r="S1" s="109"/>
      <c r="T1" s="109"/>
      <c r="U1" s="109"/>
      <c r="V1" s="109"/>
      <c r="W1" s="109"/>
      <c r="X1" s="109"/>
      <c r="Y1" s="109"/>
      <c r="Z1" s="109"/>
      <c r="AA1" s="109"/>
      <c r="AB1" s="109"/>
      <c r="AC1" s="109"/>
      <c r="AD1" s="109"/>
      <c r="AE1" s="109"/>
      <c r="AF1" s="109"/>
      <c r="AG1" s="109"/>
      <c r="AH1" s="109"/>
      <c r="AI1" s="109"/>
      <c r="AJ1" s="109"/>
      <c r="AK1" s="109"/>
    </row>
    <row r="2" ht="51.75" customHeight="1">
      <c r="A2" s="18" t="s">
        <v>8</v>
      </c>
      <c r="B2" s="18" t="s">
        <v>9</v>
      </c>
      <c r="C2" s="135" t="s">
        <v>10</v>
      </c>
      <c r="D2" s="135" t="s">
        <v>11</v>
      </c>
      <c r="E2" s="135" t="s">
        <v>12</v>
      </c>
      <c r="F2" s="135" t="s">
        <v>13</v>
      </c>
      <c r="G2" s="135" t="s">
        <v>14</v>
      </c>
      <c r="H2" s="135" t="s">
        <v>15</v>
      </c>
      <c r="I2" s="135" t="s">
        <v>16</v>
      </c>
      <c r="J2" s="135" t="s">
        <v>17</v>
      </c>
      <c r="K2" s="18" t="s">
        <v>18</v>
      </c>
      <c r="L2" s="135" t="s">
        <v>3278</v>
      </c>
      <c r="M2" s="135" t="s">
        <v>20</v>
      </c>
      <c r="N2" s="135" t="s">
        <v>21</v>
      </c>
      <c r="O2" s="135" t="s">
        <v>22</v>
      </c>
      <c r="P2" s="135" t="s">
        <v>23</v>
      </c>
      <c r="Q2" s="135" t="s">
        <v>24</v>
      </c>
      <c r="R2" s="135" t="s">
        <v>25</v>
      </c>
      <c r="S2" s="135" t="s">
        <v>26</v>
      </c>
      <c r="T2" s="135" t="s">
        <v>27</v>
      </c>
      <c r="U2" s="135" t="s">
        <v>28</v>
      </c>
      <c r="V2" s="135" t="s">
        <v>3279</v>
      </c>
      <c r="W2" s="135" t="s">
        <v>30</v>
      </c>
      <c r="X2" s="135" t="s">
        <v>31</v>
      </c>
      <c r="Y2" s="135" t="s">
        <v>32</v>
      </c>
      <c r="Z2" s="135" t="s">
        <v>33</v>
      </c>
      <c r="AA2" s="135" t="s">
        <v>34</v>
      </c>
      <c r="AB2" s="135" t="s">
        <v>35</v>
      </c>
      <c r="AC2" s="135" t="s">
        <v>36</v>
      </c>
      <c r="AD2" s="135" t="s">
        <v>37</v>
      </c>
      <c r="AE2" s="135" t="s">
        <v>38</v>
      </c>
      <c r="AF2" s="135" t="s">
        <v>39</v>
      </c>
      <c r="AG2" s="135" t="s">
        <v>40</v>
      </c>
      <c r="AH2" s="135" t="s">
        <v>41</v>
      </c>
      <c r="AI2" s="135" t="s">
        <v>42</v>
      </c>
      <c r="AJ2" s="135" t="s">
        <v>3280</v>
      </c>
      <c r="AK2" s="135" t="s">
        <v>44</v>
      </c>
      <c r="AL2" s="135" t="s">
        <v>45</v>
      </c>
    </row>
    <row r="3" ht="60.0" customHeight="1">
      <c r="A3" s="20" t="s">
        <v>4940</v>
      </c>
      <c r="B3" s="20" t="s">
        <v>4941</v>
      </c>
      <c r="C3" s="20" t="s">
        <v>4942</v>
      </c>
      <c r="D3" s="21" t="s">
        <v>213</v>
      </c>
      <c r="E3" s="20" t="s">
        <v>96</v>
      </c>
      <c r="F3" s="20" t="s">
        <v>4943</v>
      </c>
      <c r="G3" s="20" t="s">
        <v>4944</v>
      </c>
      <c r="H3" s="22"/>
      <c r="I3" s="22">
        <f>'17029 SAVV'!$H3+'17025 SAL'!$AN$1</f>
        <v>1460</v>
      </c>
      <c r="J3" s="22">
        <v>41604.0</v>
      </c>
      <c r="K3" s="20" t="s">
        <v>4945</v>
      </c>
      <c r="L3" s="20" t="s">
        <v>4946</v>
      </c>
      <c r="M3" s="52" t="str">
        <f>HYPERLINK("mailto:edcastro@earth.ac.cr","edcastro@earth.ac.cr; carbononeutro@earth.ac.cr    ")</f>
        <v>edcastro@earth.ac.cr; carbononeutro@earth.ac.cr    </v>
      </c>
      <c r="N3" s="20"/>
      <c r="O3" s="20" t="s">
        <v>4947</v>
      </c>
      <c r="P3" s="20" t="s">
        <v>4948</v>
      </c>
      <c r="Q3" s="20" t="s">
        <v>55</v>
      </c>
      <c r="R3" s="20" t="s">
        <v>4949</v>
      </c>
      <c r="S3" s="20" t="s">
        <v>1570</v>
      </c>
      <c r="T3" s="20" t="s">
        <v>4950</v>
      </c>
      <c r="U3" s="52" t="str">
        <f>HYPERLINK("http://www.earth.ac.cr/","http://www.earth.ac.cr")</f>
        <v>http://www.earth.ac.cr</v>
      </c>
      <c r="V3" s="20" t="s">
        <v>4951</v>
      </c>
      <c r="W3" s="20" t="s">
        <v>4952</v>
      </c>
      <c r="X3" s="20" t="s">
        <v>62</v>
      </c>
      <c r="Y3" s="20" t="s">
        <v>1164</v>
      </c>
      <c r="Z3" s="20" t="s">
        <v>4953</v>
      </c>
      <c r="AA3" s="20" t="s">
        <v>4949</v>
      </c>
      <c r="AB3" s="20"/>
      <c r="AC3" s="20" t="s">
        <v>4954</v>
      </c>
      <c r="AD3" s="20" t="s">
        <v>4955</v>
      </c>
      <c r="AE3" s="20" t="s">
        <v>4835</v>
      </c>
      <c r="AF3" s="20" t="s">
        <v>4956</v>
      </c>
      <c r="AG3" s="20" t="s">
        <v>4949</v>
      </c>
      <c r="AH3" s="20" t="s">
        <v>4948</v>
      </c>
      <c r="AI3" s="52" t="str">
        <f>HYPERLINK("mailto:micampos@earth.ac.cr","micampos@earth.ac.cr")</f>
        <v>micampos@earth.ac.cr</v>
      </c>
      <c r="AJ3" s="20" t="s">
        <v>4957</v>
      </c>
      <c r="AK3" s="20" t="s">
        <v>4835</v>
      </c>
      <c r="AL3" s="20" t="s">
        <v>4958</v>
      </c>
    </row>
    <row r="4" ht="60.0" customHeight="1">
      <c r="A4" s="20" t="s">
        <v>4959</v>
      </c>
      <c r="B4" s="20" t="s">
        <v>4464</v>
      </c>
      <c r="C4" s="20" t="s">
        <v>4942</v>
      </c>
      <c r="D4" s="21" t="s">
        <v>48</v>
      </c>
      <c r="E4" s="20" t="s">
        <v>49</v>
      </c>
      <c r="F4" s="20" t="s">
        <v>4944</v>
      </c>
      <c r="G4" s="20" t="s">
        <v>4943</v>
      </c>
      <c r="H4" s="22">
        <v>45173.0</v>
      </c>
      <c r="I4" s="22">
        <f>'17029 SAVV'!$H4+'17025 SAL'!$AN$1</f>
        <v>46633</v>
      </c>
      <c r="J4" s="22">
        <v>41407.0</v>
      </c>
      <c r="K4" s="20" t="s">
        <v>4960</v>
      </c>
      <c r="L4" s="20" t="s">
        <v>4516</v>
      </c>
      <c r="M4" s="52" t="s">
        <v>4517</v>
      </c>
      <c r="N4" s="52" t="s">
        <v>4518</v>
      </c>
      <c r="O4" s="20" t="s">
        <v>4519</v>
      </c>
      <c r="P4" s="20" t="s">
        <v>4459</v>
      </c>
      <c r="Q4" s="20" t="s">
        <v>55</v>
      </c>
      <c r="R4" s="20" t="s">
        <v>4470</v>
      </c>
      <c r="S4" s="20" t="s">
        <v>57</v>
      </c>
      <c r="T4" s="20" t="s">
        <v>4461</v>
      </c>
      <c r="U4" s="52" t="str">
        <f>HYPERLINK("http://www.inteco.or.cr/","www.inteco.or.cr")</f>
        <v>www.inteco.or.cr</v>
      </c>
      <c r="V4" s="20" t="s">
        <v>4471</v>
      </c>
      <c r="W4" s="20" t="s">
        <v>4472</v>
      </c>
      <c r="X4" s="20" t="s">
        <v>1899</v>
      </c>
      <c r="Y4" s="20" t="s">
        <v>63</v>
      </c>
      <c r="Z4" s="20" t="s">
        <v>4473</v>
      </c>
      <c r="AA4" s="20" t="s">
        <v>4474</v>
      </c>
      <c r="AB4" s="20"/>
      <c r="AC4" s="20" t="s">
        <v>4475</v>
      </c>
      <c r="AD4" s="20" t="s">
        <v>4476</v>
      </c>
      <c r="AE4" s="20" t="s">
        <v>4477</v>
      </c>
      <c r="AF4" s="20" t="s">
        <v>4478</v>
      </c>
      <c r="AG4" s="20" t="s">
        <v>4474</v>
      </c>
      <c r="AH4" s="20" t="s">
        <v>4459</v>
      </c>
      <c r="AI4" s="52" t="str">
        <f>HYPERLINK("mailto:lfmiranda@inteco.or.cr","lfmiranda@inteco.or.cr")</f>
        <v>lfmiranda@inteco.or.cr</v>
      </c>
      <c r="AJ4" s="20" t="s">
        <v>4479</v>
      </c>
      <c r="AK4" s="20" t="s">
        <v>4462</v>
      </c>
      <c r="AL4" s="20" t="s">
        <v>4480</v>
      </c>
    </row>
    <row r="5" ht="60.0" customHeight="1">
      <c r="A5" s="20" t="s">
        <v>4961</v>
      </c>
      <c r="B5" s="20"/>
      <c r="C5" s="20" t="s">
        <v>4942</v>
      </c>
      <c r="D5" s="21" t="s">
        <v>2027</v>
      </c>
      <c r="E5" s="20" t="s">
        <v>49</v>
      </c>
      <c r="F5" s="20" t="s">
        <v>4962</v>
      </c>
      <c r="G5" s="20" t="s">
        <v>324</v>
      </c>
      <c r="H5" s="22"/>
      <c r="I5" s="22">
        <f>'17029 SAVV'!$H5+'17025 SAL'!$AN$1</f>
        <v>1460</v>
      </c>
      <c r="J5" s="22"/>
      <c r="K5" s="20" t="s">
        <v>730</v>
      </c>
      <c r="L5" s="20" t="s">
        <v>4963</v>
      </c>
      <c r="M5" s="20" t="s">
        <v>4964</v>
      </c>
      <c r="N5" s="20"/>
      <c r="O5" s="20" t="s">
        <v>4965</v>
      </c>
      <c r="P5" s="20" t="s">
        <v>4966</v>
      </c>
      <c r="Q5" s="20" t="s">
        <v>55</v>
      </c>
      <c r="R5" s="20" t="s">
        <v>4967</v>
      </c>
      <c r="S5" s="20" t="s">
        <v>4968</v>
      </c>
      <c r="T5" s="20" t="s">
        <v>4969</v>
      </c>
      <c r="U5" s="20" t="s">
        <v>324</v>
      </c>
      <c r="V5" s="20" t="s">
        <v>4970</v>
      </c>
      <c r="W5" s="20">
        <v>2.04430631E8</v>
      </c>
      <c r="X5" s="20" t="s">
        <v>62</v>
      </c>
      <c r="Y5" s="20" t="s">
        <v>63</v>
      </c>
      <c r="Z5" s="20" t="s">
        <v>793</v>
      </c>
      <c r="AA5" s="20" t="s">
        <v>4971</v>
      </c>
      <c r="AB5" s="20"/>
      <c r="AC5" s="20" t="s">
        <v>4972</v>
      </c>
      <c r="AD5" s="20" t="s">
        <v>4973</v>
      </c>
      <c r="AE5" s="20" t="s">
        <v>4961</v>
      </c>
      <c r="AF5" s="20" t="s">
        <v>4974</v>
      </c>
      <c r="AG5" s="20" t="s">
        <v>4971</v>
      </c>
      <c r="AH5" s="20" t="s">
        <v>4975</v>
      </c>
      <c r="AI5" s="52" t="str">
        <f>HYPERLINK("mailto:jsolera@scsglobalservices.com;","jsolera@scsglobalservices.com; ")</f>
        <v>jsolera@scsglobalservices.com; </v>
      </c>
      <c r="AJ5" s="20" t="s">
        <v>2586</v>
      </c>
      <c r="AK5" s="20" t="s">
        <v>4961</v>
      </c>
      <c r="AL5" s="20"/>
    </row>
    <row r="6" ht="60.0" customHeight="1">
      <c r="A6" s="20" t="s">
        <v>4976</v>
      </c>
      <c r="B6" s="20" t="s">
        <v>4977</v>
      </c>
      <c r="C6" s="20" t="s">
        <v>4942</v>
      </c>
      <c r="D6" s="21" t="s">
        <v>48</v>
      </c>
      <c r="E6" s="20" t="s">
        <v>49</v>
      </c>
      <c r="F6" s="20" t="s">
        <v>4978</v>
      </c>
      <c r="G6" s="20" t="s">
        <v>4978</v>
      </c>
      <c r="H6" s="22">
        <v>45532.0</v>
      </c>
      <c r="I6" s="22" t="s">
        <v>324</v>
      </c>
      <c r="J6" s="22">
        <v>44183.0</v>
      </c>
      <c r="K6" s="20" t="s">
        <v>3987</v>
      </c>
      <c r="L6" s="20" t="s">
        <v>4979</v>
      </c>
      <c r="M6" s="20" t="s">
        <v>4980</v>
      </c>
      <c r="N6" s="20" t="s">
        <v>4981</v>
      </c>
      <c r="O6" s="20" t="s">
        <v>4982</v>
      </c>
      <c r="P6" s="20" t="s">
        <v>3987</v>
      </c>
      <c r="Q6" s="20" t="s">
        <v>55</v>
      </c>
      <c r="R6" s="20" t="s">
        <v>4983</v>
      </c>
      <c r="S6" s="20" t="s">
        <v>57</v>
      </c>
      <c r="T6" s="20" t="s">
        <v>4984</v>
      </c>
      <c r="U6" s="52" t="s">
        <v>4985</v>
      </c>
      <c r="V6" s="20" t="s">
        <v>4986</v>
      </c>
      <c r="W6" s="20" t="s">
        <v>4987</v>
      </c>
      <c r="X6" s="20" t="s">
        <v>62</v>
      </c>
      <c r="Y6" s="20" t="s">
        <v>264</v>
      </c>
      <c r="Z6" s="20" t="s">
        <v>4988</v>
      </c>
      <c r="AA6" s="20" t="s">
        <v>4989</v>
      </c>
      <c r="AB6" s="20"/>
      <c r="AC6" s="20" t="s">
        <v>4990</v>
      </c>
      <c r="AD6" s="20" t="s">
        <v>1143</v>
      </c>
      <c r="AE6" s="20" t="s">
        <v>4991</v>
      </c>
      <c r="AF6" s="20" t="s">
        <v>4992</v>
      </c>
      <c r="AG6" s="20" t="s">
        <v>4983</v>
      </c>
      <c r="AH6" s="20" t="s">
        <v>3987</v>
      </c>
      <c r="AI6" s="20" t="s">
        <v>4993</v>
      </c>
      <c r="AJ6" s="20" t="s">
        <v>4994</v>
      </c>
      <c r="AK6" s="20" t="s">
        <v>4976</v>
      </c>
      <c r="AL6" s="20"/>
    </row>
    <row r="7" ht="60.0" customHeight="1">
      <c r="A7" s="20" t="s">
        <v>4995</v>
      </c>
      <c r="B7" s="20"/>
      <c r="C7" s="20" t="s">
        <v>4942</v>
      </c>
      <c r="D7" s="21" t="s">
        <v>48</v>
      </c>
      <c r="E7" s="20" t="s">
        <v>49</v>
      </c>
      <c r="F7" s="20" t="s">
        <v>4996</v>
      </c>
      <c r="G7" s="20" t="s">
        <v>4996</v>
      </c>
      <c r="H7" s="22">
        <v>45415.0</v>
      </c>
      <c r="I7" s="22">
        <f>'17029 SAVV'!$H7+'17025 SAL'!$AN$1</f>
        <v>46875</v>
      </c>
      <c r="J7" s="22">
        <v>44167.0</v>
      </c>
      <c r="K7" s="20" t="s">
        <v>4997</v>
      </c>
      <c r="L7" s="20" t="s">
        <v>4998</v>
      </c>
      <c r="M7" s="20" t="s">
        <v>4999</v>
      </c>
      <c r="N7" s="20"/>
      <c r="O7" s="20" t="s">
        <v>5000</v>
      </c>
      <c r="P7" s="20" t="s">
        <v>3987</v>
      </c>
      <c r="Q7" s="20" t="s">
        <v>55</v>
      </c>
      <c r="R7" s="20" t="s">
        <v>5001</v>
      </c>
      <c r="S7" s="20" t="s">
        <v>57</v>
      </c>
      <c r="T7" s="20" t="s">
        <v>5002</v>
      </c>
      <c r="U7" s="20" t="s">
        <v>4508</v>
      </c>
      <c r="V7" s="35" t="s">
        <v>5003</v>
      </c>
      <c r="W7" s="35" t="s">
        <v>5004</v>
      </c>
      <c r="X7" s="35" t="s">
        <v>62</v>
      </c>
      <c r="Y7" s="20" t="s">
        <v>264</v>
      </c>
      <c r="Z7" s="35" t="s">
        <v>167</v>
      </c>
      <c r="AA7" s="35" t="s">
        <v>5005</v>
      </c>
      <c r="AB7" s="35" t="s">
        <v>5006</v>
      </c>
      <c r="AC7" s="20" t="s">
        <v>1183</v>
      </c>
      <c r="AD7" s="20" t="s">
        <v>5007</v>
      </c>
      <c r="AE7" s="20" t="s">
        <v>4995</v>
      </c>
      <c r="AF7" s="20" t="s">
        <v>5000</v>
      </c>
      <c r="AG7" s="20" t="s">
        <v>5001</v>
      </c>
      <c r="AH7" s="20" t="s">
        <v>3987</v>
      </c>
      <c r="AI7" s="20" t="s">
        <v>5008</v>
      </c>
      <c r="AJ7" s="20"/>
      <c r="AK7" s="20" t="s">
        <v>4995</v>
      </c>
      <c r="AL7" s="20" t="s">
        <v>5009</v>
      </c>
    </row>
    <row r="8" ht="60.0" customHeight="1">
      <c r="A8" s="20" t="s">
        <v>4016</v>
      </c>
      <c r="B8" s="20" t="s">
        <v>3142</v>
      </c>
      <c r="C8" s="20" t="s">
        <v>4942</v>
      </c>
      <c r="D8" s="21" t="s">
        <v>2027</v>
      </c>
      <c r="E8" s="20" t="s">
        <v>2734</v>
      </c>
      <c r="F8" s="20" t="s">
        <v>5010</v>
      </c>
      <c r="G8" s="20" t="s">
        <v>4942</v>
      </c>
      <c r="H8" s="22"/>
      <c r="I8" s="22">
        <f>'17029 SAVV'!$H8+'17025 SAL'!$AN$1</f>
        <v>1460</v>
      </c>
      <c r="J8" s="22"/>
      <c r="K8" s="20"/>
      <c r="L8" s="20" t="s">
        <v>4018</v>
      </c>
      <c r="M8" s="20" t="s">
        <v>5011</v>
      </c>
      <c r="N8" s="20"/>
      <c r="O8" s="20" t="s">
        <v>4019</v>
      </c>
      <c r="P8" s="20" t="s">
        <v>3987</v>
      </c>
      <c r="Q8" s="20" t="s">
        <v>55</v>
      </c>
      <c r="R8" s="20" t="s">
        <v>4020</v>
      </c>
      <c r="S8" s="20" t="s">
        <v>121</v>
      </c>
      <c r="T8" s="20" t="s">
        <v>4021</v>
      </c>
      <c r="U8" s="20" t="s">
        <v>4022</v>
      </c>
      <c r="V8" s="20" t="s">
        <v>4023</v>
      </c>
      <c r="W8" s="20">
        <v>2.04510487E8</v>
      </c>
      <c r="X8" s="20" t="s">
        <v>346</v>
      </c>
      <c r="Y8" s="20" t="s">
        <v>264</v>
      </c>
      <c r="Z8" s="20" t="s">
        <v>4024</v>
      </c>
      <c r="AA8" s="20" t="s">
        <v>4025</v>
      </c>
      <c r="AB8" s="20"/>
      <c r="AC8" s="20" t="s">
        <v>108</v>
      </c>
      <c r="AD8" s="20" t="s">
        <v>108</v>
      </c>
      <c r="AE8" s="20"/>
      <c r="AF8" s="20"/>
      <c r="AG8" s="20" t="s">
        <v>4020</v>
      </c>
      <c r="AH8" s="20" t="s">
        <v>3987</v>
      </c>
      <c r="AI8" s="20" t="s">
        <v>1403</v>
      </c>
      <c r="AJ8" s="20" t="s">
        <v>4026</v>
      </c>
      <c r="AK8" s="20" t="s">
        <v>4027</v>
      </c>
      <c r="AL8" s="20"/>
    </row>
    <row r="9" ht="60.0" customHeight="1">
      <c r="A9" s="20" t="s">
        <v>5012</v>
      </c>
      <c r="B9" s="20" t="s">
        <v>5013</v>
      </c>
      <c r="C9" s="20" t="s">
        <v>4942</v>
      </c>
      <c r="D9" s="21" t="s">
        <v>822</v>
      </c>
      <c r="E9" s="20" t="s">
        <v>49</v>
      </c>
      <c r="F9" s="20" t="s">
        <v>5014</v>
      </c>
      <c r="G9" s="20" t="s">
        <v>5014</v>
      </c>
      <c r="H9" s="22">
        <v>44250.0</v>
      </c>
      <c r="I9" s="22">
        <f>'17029 SAVV'!$H9+'17025 SAL'!$AN$1</f>
        <v>45710</v>
      </c>
      <c r="J9" s="22">
        <v>44538.0</v>
      </c>
      <c r="K9" s="20" t="s">
        <v>324</v>
      </c>
      <c r="L9" s="20"/>
      <c r="M9" s="52" t="s">
        <v>5015</v>
      </c>
      <c r="N9" s="52" t="s">
        <v>5016</v>
      </c>
      <c r="O9" s="20">
        <v>8.5110811E7</v>
      </c>
      <c r="P9" s="20" t="s">
        <v>3987</v>
      </c>
      <c r="Q9" s="20" t="s">
        <v>55</v>
      </c>
      <c r="R9" s="20" t="s">
        <v>5017</v>
      </c>
      <c r="S9" s="20" t="s">
        <v>57</v>
      </c>
      <c r="T9" s="20" t="s">
        <v>5018</v>
      </c>
      <c r="U9" s="52" t="s">
        <v>5019</v>
      </c>
      <c r="V9" s="20" t="s">
        <v>5020</v>
      </c>
      <c r="W9" s="20">
        <v>1.09030336E8</v>
      </c>
      <c r="X9" s="20" t="s">
        <v>62</v>
      </c>
      <c r="Y9" s="20" t="s">
        <v>264</v>
      </c>
      <c r="Z9" s="20" t="s">
        <v>2194</v>
      </c>
      <c r="AA9" s="20" t="s">
        <v>5021</v>
      </c>
      <c r="AB9" s="20"/>
      <c r="AC9" s="20" t="s">
        <v>243</v>
      </c>
      <c r="AD9" s="20" t="s">
        <v>5022</v>
      </c>
      <c r="AE9" s="20" t="s">
        <v>5023</v>
      </c>
      <c r="AF9" s="20">
        <v>8.6925837E7</v>
      </c>
      <c r="AG9" s="20" t="s">
        <v>5024</v>
      </c>
      <c r="AH9" s="20" t="s">
        <v>324</v>
      </c>
      <c r="AI9" s="52" t="s">
        <v>5015</v>
      </c>
      <c r="AJ9" s="20" t="s">
        <v>5025</v>
      </c>
      <c r="AK9" s="20" t="s">
        <v>5012</v>
      </c>
      <c r="AL9" s="20"/>
    </row>
    <row r="10" ht="60.0" customHeight="1">
      <c r="A10" s="20" t="s">
        <v>5026</v>
      </c>
      <c r="B10" s="20" t="s">
        <v>5027</v>
      </c>
      <c r="C10" s="20" t="s">
        <v>4942</v>
      </c>
      <c r="D10" s="21" t="s">
        <v>2027</v>
      </c>
      <c r="E10" s="20" t="s">
        <v>49</v>
      </c>
      <c r="F10" s="20" t="s">
        <v>5028</v>
      </c>
      <c r="G10" s="20"/>
      <c r="H10" s="22"/>
      <c r="I10" s="22">
        <f>'17029 SAVV'!$H10+'17025 SAL'!$AN$1</f>
        <v>1460</v>
      </c>
      <c r="J10" s="22"/>
      <c r="K10" s="20"/>
      <c r="L10" s="20" t="s">
        <v>5029</v>
      </c>
      <c r="M10" s="52" t="s">
        <v>5030</v>
      </c>
      <c r="N10" s="20"/>
      <c r="O10" s="20" t="s">
        <v>5031</v>
      </c>
      <c r="P10" s="20"/>
      <c r="Q10" s="20" t="s">
        <v>5032</v>
      </c>
      <c r="R10" s="20" t="s">
        <v>5033</v>
      </c>
      <c r="S10" s="20" t="s">
        <v>5034</v>
      </c>
      <c r="T10" s="20" t="s">
        <v>5035</v>
      </c>
      <c r="U10" s="20"/>
      <c r="V10" s="20" t="s">
        <v>5036</v>
      </c>
      <c r="W10" s="20" t="s">
        <v>5037</v>
      </c>
      <c r="X10" s="20" t="s">
        <v>326</v>
      </c>
      <c r="Y10" s="20" t="s">
        <v>5038</v>
      </c>
      <c r="Z10" s="20" t="s">
        <v>4184</v>
      </c>
      <c r="AA10" s="20" t="s">
        <v>5039</v>
      </c>
      <c r="AB10" s="20"/>
      <c r="AC10" s="20" t="s">
        <v>67</v>
      </c>
      <c r="AD10" s="20" t="s">
        <v>5040</v>
      </c>
      <c r="AE10" s="20" t="s">
        <v>5041</v>
      </c>
      <c r="AF10" s="20">
        <v>9.99149926E8</v>
      </c>
      <c r="AG10" s="20" t="s">
        <v>5033</v>
      </c>
      <c r="AH10" s="20" t="s">
        <v>5042</v>
      </c>
      <c r="AI10" s="20" t="s">
        <v>5043</v>
      </c>
      <c r="AJ10" s="20" t="s">
        <v>5044</v>
      </c>
      <c r="AK10" s="20"/>
      <c r="AL10" s="20"/>
    </row>
    <row r="11" ht="15.75" customHeight="1">
      <c r="I11" s="158"/>
      <c r="AB11" s="146"/>
      <c r="AJ11" s="58"/>
      <c r="AK11" s="58"/>
      <c r="AL11" s="58"/>
    </row>
    <row r="12" ht="15.75" customHeight="1">
      <c r="I12" s="158"/>
      <c r="AB12" s="123"/>
      <c r="AJ12" s="58"/>
      <c r="AK12" s="58"/>
      <c r="AL12" s="58"/>
    </row>
    <row r="13" ht="15.75" customHeight="1">
      <c r="I13" s="158"/>
      <c r="AB13" s="123"/>
      <c r="AJ13" s="58"/>
      <c r="AK13" s="58"/>
      <c r="AL13" s="58"/>
    </row>
    <row r="14" ht="15.75" customHeight="1">
      <c r="I14" s="158"/>
      <c r="AB14" s="123"/>
      <c r="AJ14" s="58"/>
      <c r="AK14" s="58"/>
      <c r="AL14" s="58"/>
    </row>
    <row r="15">
      <c r="B15" s="159"/>
      <c r="I15" s="158"/>
      <c r="AB15" s="123"/>
    </row>
    <row r="16" ht="24.0" customHeight="1">
      <c r="I16" s="158"/>
      <c r="AB16" s="123"/>
      <c r="AJ16" s="58"/>
      <c r="AK16" s="58"/>
      <c r="AL16" s="58"/>
    </row>
    <row r="17" ht="24.0" customHeight="1">
      <c r="I17" s="158"/>
      <c r="AB17" s="123"/>
      <c r="AJ17" s="58"/>
      <c r="AK17" s="58"/>
      <c r="AL17" s="58"/>
    </row>
    <row r="18" ht="15.75" customHeight="1">
      <c r="I18" s="158"/>
      <c r="AB18" s="123"/>
      <c r="AJ18" s="58"/>
      <c r="AK18" s="58"/>
      <c r="AL18" s="58"/>
    </row>
    <row r="19" ht="15.75" customHeight="1">
      <c r="A19" s="101" t="s">
        <v>3266</v>
      </c>
      <c r="I19" s="158"/>
      <c r="AB19" s="123"/>
      <c r="AJ19" s="58"/>
      <c r="AK19" s="58"/>
      <c r="AL19" s="58"/>
    </row>
    <row r="20" ht="15.75" customHeight="1">
      <c r="A20" s="102" t="s">
        <v>11</v>
      </c>
      <c r="B20" s="103"/>
      <c r="I20" s="158"/>
      <c r="AB20" s="123"/>
      <c r="AJ20" s="58"/>
      <c r="AK20" s="58"/>
      <c r="AL20" s="58"/>
    </row>
    <row r="21" ht="15.75" customHeight="1">
      <c r="A21" s="21" t="s">
        <v>48</v>
      </c>
      <c r="B21" s="104" t="s">
        <v>3267</v>
      </c>
      <c r="I21" s="158"/>
      <c r="AB21" s="123"/>
      <c r="AJ21" s="58"/>
      <c r="AK21" s="58"/>
      <c r="AL21" s="58"/>
    </row>
    <row r="22" ht="15.75" customHeight="1">
      <c r="A22" s="21" t="s">
        <v>822</v>
      </c>
      <c r="B22" s="104" t="s">
        <v>3268</v>
      </c>
      <c r="I22" s="158"/>
      <c r="AB22" s="123"/>
      <c r="AJ22" s="58"/>
      <c r="AK22" s="58"/>
      <c r="AL22" s="58"/>
    </row>
    <row r="23" ht="15.75" customHeight="1">
      <c r="A23" s="21" t="s">
        <v>213</v>
      </c>
      <c r="B23" s="104" t="s">
        <v>3269</v>
      </c>
      <c r="I23" s="158"/>
      <c r="AB23" s="123"/>
      <c r="AJ23" s="58"/>
      <c r="AK23" s="58"/>
      <c r="AL23" s="58"/>
    </row>
    <row r="24" ht="15.75" customHeight="1">
      <c r="A24" s="21" t="s">
        <v>314</v>
      </c>
      <c r="B24" s="104" t="s">
        <v>3270</v>
      </c>
      <c r="I24" s="158"/>
      <c r="AB24" s="149"/>
      <c r="AJ24" s="58"/>
      <c r="AK24" s="58"/>
      <c r="AL24" s="58"/>
    </row>
    <row r="25" ht="15.75" customHeight="1">
      <c r="A25" s="21" t="s">
        <v>2027</v>
      </c>
      <c r="B25" s="104" t="s">
        <v>3271</v>
      </c>
      <c r="I25" s="158"/>
      <c r="AJ25" s="58"/>
      <c r="AK25" s="58"/>
      <c r="AL25" s="58"/>
    </row>
    <row r="26" ht="15.75" customHeight="1">
      <c r="A26" s="21" t="s">
        <v>2911</v>
      </c>
      <c r="B26" s="104" t="s">
        <v>3272</v>
      </c>
      <c r="I26" s="158"/>
      <c r="AJ26" s="58"/>
      <c r="AK26" s="58"/>
      <c r="AL26" s="58"/>
    </row>
    <row r="27" ht="15.75" customHeight="1">
      <c r="I27" s="158"/>
      <c r="AJ27" s="58"/>
      <c r="AK27" s="58"/>
      <c r="AL27" s="58"/>
    </row>
    <row r="28" ht="15.75" customHeight="1">
      <c r="I28" s="158"/>
      <c r="AJ28" s="58"/>
      <c r="AK28" s="58"/>
      <c r="AL28" s="58"/>
    </row>
    <row r="29" ht="15.75" customHeight="1">
      <c r="I29" s="158"/>
      <c r="AJ29" s="58"/>
      <c r="AK29" s="58"/>
      <c r="AL29" s="58"/>
    </row>
    <row r="30" ht="15.75" customHeight="1">
      <c r="I30" s="158"/>
      <c r="AJ30" s="58"/>
      <c r="AK30" s="58"/>
      <c r="AL30" s="58"/>
    </row>
    <row r="31" ht="15.75" customHeight="1">
      <c r="I31" s="158"/>
      <c r="AJ31" s="58"/>
      <c r="AK31" s="58"/>
      <c r="AL31" s="58"/>
    </row>
    <row r="32" ht="15.75" customHeight="1">
      <c r="I32" s="158"/>
      <c r="AJ32" s="58"/>
      <c r="AK32" s="58"/>
      <c r="AL32" s="58"/>
    </row>
    <row r="33" ht="15.75" customHeight="1">
      <c r="I33" s="158"/>
      <c r="AJ33" s="58"/>
      <c r="AK33" s="58"/>
      <c r="AL33" s="58"/>
    </row>
    <row r="34" ht="15.75" customHeight="1">
      <c r="I34" s="158"/>
      <c r="AJ34" s="58"/>
      <c r="AK34" s="58"/>
      <c r="AL34" s="58"/>
    </row>
    <row r="35" ht="15.75" customHeight="1">
      <c r="I35" s="158"/>
      <c r="AJ35" s="58"/>
      <c r="AK35" s="58"/>
      <c r="AL35" s="58"/>
    </row>
    <row r="36" ht="15.75" customHeight="1">
      <c r="I36" s="158"/>
      <c r="AJ36" s="58"/>
      <c r="AK36" s="58"/>
      <c r="AL36" s="58"/>
    </row>
    <row r="37" ht="15.75" customHeight="1">
      <c r="I37" s="158"/>
      <c r="AJ37" s="58"/>
      <c r="AK37" s="58"/>
      <c r="AL37" s="58"/>
    </row>
    <row r="38" ht="15.75" customHeight="1">
      <c r="I38" s="158"/>
      <c r="AJ38" s="58"/>
      <c r="AK38" s="58"/>
      <c r="AL38" s="58"/>
    </row>
    <row r="39" ht="15.75" customHeight="1">
      <c r="I39" s="158"/>
      <c r="AJ39" s="58"/>
      <c r="AK39" s="58"/>
      <c r="AL39" s="58"/>
    </row>
    <row r="40" ht="15.75" customHeight="1">
      <c r="I40" s="158"/>
      <c r="AJ40" s="58"/>
      <c r="AK40" s="58"/>
      <c r="AL40" s="58"/>
    </row>
    <row r="41" ht="15.75" customHeight="1">
      <c r="I41" s="158"/>
      <c r="AJ41" s="58"/>
      <c r="AK41" s="58"/>
      <c r="AL41" s="58"/>
    </row>
    <row r="42" ht="15.75" customHeight="1">
      <c r="I42" s="158"/>
      <c r="AJ42" s="58"/>
      <c r="AK42" s="58"/>
      <c r="AL42" s="58"/>
    </row>
    <row r="43" ht="15.75" customHeight="1">
      <c r="I43" s="158"/>
      <c r="AJ43" s="58"/>
      <c r="AK43" s="58"/>
      <c r="AL43" s="58"/>
    </row>
    <row r="44" ht="15.75" customHeight="1">
      <c r="I44" s="158"/>
      <c r="AJ44" s="58"/>
      <c r="AK44" s="58"/>
      <c r="AL44" s="58"/>
    </row>
    <row r="45" ht="15.75" customHeight="1">
      <c r="I45" s="158"/>
      <c r="AJ45" s="58"/>
      <c r="AK45" s="58"/>
      <c r="AL45" s="58"/>
    </row>
    <row r="46" ht="15.75" customHeight="1">
      <c r="I46" s="158"/>
      <c r="AJ46" s="58"/>
      <c r="AK46" s="58"/>
      <c r="AL46" s="58"/>
    </row>
    <row r="47" ht="15.75" customHeight="1">
      <c r="I47" s="158"/>
      <c r="AJ47" s="58"/>
      <c r="AK47" s="58"/>
      <c r="AL47" s="58"/>
    </row>
    <row r="48" ht="15.75" customHeight="1">
      <c r="I48" s="158"/>
      <c r="AJ48" s="58"/>
      <c r="AK48" s="58"/>
      <c r="AL48" s="58"/>
    </row>
    <row r="49" ht="15.75" customHeight="1">
      <c r="I49" s="158"/>
      <c r="AJ49" s="58"/>
      <c r="AK49" s="58"/>
      <c r="AL49" s="58"/>
    </row>
    <row r="50" ht="15.75" customHeight="1">
      <c r="I50" s="158"/>
      <c r="AJ50" s="58"/>
      <c r="AK50" s="58"/>
      <c r="AL50" s="58"/>
    </row>
    <row r="51" ht="15.75" customHeight="1">
      <c r="I51" s="158"/>
      <c r="AJ51" s="58"/>
      <c r="AK51" s="58"/>
      <c r="AL51" s="58"/>
    </row>
    <row r="52" ht="15.75" customHeight="1">
      <c r="I52" s="158"/>
      <c r="AJ52" s="58"/>
      <c r="AK52" s="58"/>
      <c r="AL52" s="58"/>
    </row>
    <row r="53" ht="15.75" customHeight="1">
      <c r="I53" s="158"/>
      <c r="AJ53" s="58"/>
      <c r="AK53" s="58"/>
      <c r="AL53" s="58"/>
    </row>
    <row r="54" ht="15.75" customHeight="1">
      <c r="I54" s="158"/>
      <c r="AJ54" s="58"/>
      <c r="AK54" s="58"/>
      <c r="AL54" s="58"/>
    </row>
    <row r="55" ht="15.75" customHeight="1">
      <c r="I55" s="158"/>
      <c r="AJ55" s="58"/>
      <c r="AK55" s="58"/>
      <c r="AL55" s="58"/>
    </row>
    <row r="56" ht="15.75" customHeight="1">
      <c r="I56" s="158"/>
      <c r="AJ56" s="58"/>
      <c r="AK56" s="58"/>
      <c r="AL56" s="58"/>
    </row>
    <row r="57" ht="15.75" customHeight="1">
      <c r="I57" s="158"/>
      <c r="AJ57" s="58"/>
      <c r="AK57" s="58"/>
      <c r="AL57" s="58"/>
    </row>
    <row r="58" ht="15.75" customHeight="1">
      <c r="I58" s="158"/>
      <c r="AJ58" s="58"/>
      <c r="AK58" s="58"/>
      <c r="AL58" s="58"/>
    </row>
    <row r="59" ht="15.75" customHeight="1">
      <c r="I59" s="158"/>
      <c r="AJ59" s="58"/>
      <c r="AK59" s="58"/>
      <c r="AL59" s="58"/>
    </row>
    <row r="60" ht="15.75" customHeight="1">
      <c r="I60" s="158"/>
      <c r="AJ60" s="58"/>
      <c r="AK60" s="58"/>
      <c r="AL60" s="58"/>
    </row>
    <row r="61" ht="15.75" customHeight="1">
      <c r="I61" s="158"/>
      <c r="AJ61" s="58"/>
      <c r="AK61" s="58"/>
      <c r="AL61" s="58"/>
    </row>
    <row r="62" ht="15.75" customHeight="1">
      <c r="I62" s="158"/>
      <c r="AJ62" s="58"/>
      <c r="AK62" s="58"/>
      <c r="AL62" s="58"/>
    </row>
    <row r="63" ht="15.75" customHeight="1">
      <c r="I63" s="158"/>
      <c r="AJ63" s="58"/>
      <c r="AK63" s="58"/>
      <c r="AL63" s="58"/>
    </row>
    <row r="64" ht="15.75" customHeight="1">
      <c r="I64" s="158"/>
      <c r="AJ64" s="58"/>
      <c r="AK64" s="58"/>
      <c r="AL64" s="58"/>
    </row>
    <row r="65" ht="15.75" customHeight="1">
      <c r="I65" s="158"/>
      <c r="AJ65" s="58"/>
      <c r="AK65" s="58"/>
      <c r="AL65" s="58"/>
    </row>
    <row r="66" ht="15.75" customHeight="1">
      <c r="I66" s="158"/>
      <c r="AJ66" s="58"/>
      <c r="AK66" s="58"/>
      <c r="AL66" s="58"/>
    </row>
    <row r="67" ht="15.75" customHeight="1">
      <c r="I67" s="158"/>
      <c r="AJ67" s="58"/>
      <c r="AK67" s="58"/>
      <c r="AL67" s="58"/>
    </row>
    <row r="68" ht="15.75" customHeight="1">
      <c r="I68" s="158"/>
      <c r="AJ68" s="58"/>
      <c r="AK68" s="58"/>
      <c r="AL68" s="58"/>
    </row>
    <row r="69" ht="15.75" customHeight="1">
      <c r="I69" s="158"/>
      <c r="AJ69" s="58"/>
      <c r="AK69" s="58"/>
      <c r="AL69" s="58"/>
    </row>
    <row r="70" ht="15.75" customHeight="1">
      <c r="I70" s="158"/>
      <c r="AJ70" s="58"/>
      <c r="AK70" s="58"/>
      <c r="AL70" s="58"/>
    </row>
    <row r="71" ht="15.75" customHeight="1">
      <c r="I71" s="158"/>
      <c r="AJ71" s="58"/>
      <c r="AK71" s="58"/>
      <c r="AL71" s="58"/>
    </row>
    <row r="72" ht="15.75" customHeight="1">
      <c r="I72" s="158"/>
      <c r="AJ72" s="58"/>
      <c r="AK72" s="58"/>
      <c r="AL72" s="58"/>
    </row>
    <row r="73" ht="15.75" customHeight="1">
      <c r="I73" s="158"/>
      <c r="AJ73" s="58"/>
      <c r="AK73" s="58"/>
      <c r="AL73" s="58"/>
    </row>
    <row r="74" ht="15.75" customHeight="1">
      <c r="I74" s="158"/>
      <c r="AJ74" s="58"/>
      <c r="AK74" s="58"/>
      <c r="AL74" s="58"/>
    </row>
    <row r="75" ht="15.75" customHeight="1">
      <c r="I75" s="158"/>
      <c r="AJ75" s="58"/>
      <c r="AK75" s="58"/>
      <c r="AL75" s="58"/>
    </row>
    <row r="76" ht="15.75" customHeight="1">
      <c r="I76" s="158"/>
      <c r="AJ76" s="58"/>
      <c r="AK76" s="58"/>
      <c r="AL76" s="58"/>
    </row>
    <row r="77" ht="15.75" customHeight="1">
      <c r="I77" s="158"/>
      <c r="AJ77" s="58"/>
      <c r="AK77" s="58"/>
      <c r="AL77" s="58"/>
    </row>
    <row r="78" ht="15.75" customHeight="1">
      <c r="I78" s="158"/>
      <c r="AJ78" s="58"/>
      <c r="AK78" s="58"/>
      <c r="AL78" s="58"/>
    </row>
    <row r="79" ht="15.75" customHeight="1">
      <c r="I79" s="158"/>
      <c r="AJ79" s="58"/>
      <c r="AK79" s="58"/>
      <c r="AL79" s="58"/>
    </row>
    <row r="80" ht="15.75" customHeight="1">
      <c r="I80" s="158"/>
      <c r="AJ80" s="58"/>
      <c r="AK80" s="58"/>
      <c r="AL80" s="58"/>
    </row>
    <row r="81" ht="15.75" customHeight="1">
      <c r="I81" s="158"/>
      <c r="AJ81" s="58"/>
      <c r="AK81" s="58"/>
      <c r="AL81" s="58"/>
    </row>
    <row r="82" ht="15.75" customHeight="1">
      <c r="I82" s="158"/>
      <c r="AJ82" s="58"/>
      <c r="AK82" s="58"/>
      <c r="AL82" s="58"/>
    </row>
    <row r="83" ht="15.75" customHeight="1">
      <c r="I83" s="158"/>
      <c r="AJ83" s="58"/>
      <c r="AK83" s="58"/>
      <c r="AL83" s="58"/>
    </row>
    <row r="84" ht="15.75" customHeight="1">
      <c r="I84" s="158"/>
      <c r="AJ84" s="58"/>
      <c r="AK84" s="58"/>
      <c r="AL84" s="58"/>
    </row>
    <row r="85" ht="15.75" customHeight="1">
      <c r="I85" s="158"/>
      <c r="AJ85" s="58"/>
      <c r="AK85" s="58"/>
      <c r="AL85" s="58"/>
    </row>
    <row r="86" ht="15.75" customHeight="1">
      <c r="I86" s="158"/>
      <c r="AJ86" s="58"/>
      <c r="AK86" s="58"/>
      <c r="AL86" s="58"/>
    </row>
    <row r="87" ht="15.75" customHeight="1">
      <c r="I87" s="158"/>
      <c r="AJ87" s="58"/>
      <c r="AK87" s="58"/>
      <c r="AL87" s="58"/>
    </row>
    <row r="88" ht="15.75" customHeight="1">
      <c r="I88" s="158"/>
      <c r="AJ88" s="58"/>
      <c r="AK88" s="58"/>
      <c r="AL88" s="58"/>
    </row>
    <row r="89" ht="15.75" customHeight="1">
      <c r="I89" s="158"/>
      <c r="AJ89" s="58"/>
      <c r="AK89" s="58"/>
      <c r="AL89" s="58"/>
    </row>
    <row r="90" ht="15.75" customHeight="1">
      <c r="I90" s="158"/>
      <c r="AJ90" s="58"/>
      <c r="AK90" s="58"/>
      <c r="AL90" s="58"/>
    </row>
    <row r="91" ht="15.75" customHeight="1">
      <c r="I91" s="158"/>
      <c r="AJ91" s="58"/>
      <c r="AK91" s="58"/>
      <c r="AL91" s="58"/>
    </row>
    <row r="92" ht="15.75" customHeight="1">
      <c r="I92" s="158"/>
      <c r="AJ92" s="58"/>
      <c r="AK92" s="58"/>
      <c r="AL92" s="58"/>
    </row>
    <row r="93" ht="15.75" customHeight="1">
      <c r="I93" s="158"/>
      <c r="AJ93" s="58"/>
      <c r="AK93" s="58"/>
      <c r="AL93" s="58"/>
    </row>
    <row r="94" ht="15.75" customHeight="1">
      <c r="I94" s="158"/>
      <c r="AJ94" s="58"/>
      <c r="AK94" s="58"/>
      <c r="AL94" s="58"/>
    </row>
    <row r="95" ht="15.75" customHeight="1">
      <c r="I95" s="158"/>
      <c r="AJ95" s="58"/>
      <c r="AK95" s="58"/>
      <c r="AL95" s="58"/>
    </row>
    <row r="96" ht="15.75" customHeight="1">
      <c r="I96" s="158"/>
      <c r="AJ96" s="58"/>
      <c r="AK96" s="58"/>
      <c r="AL96" s="58"/>
    </row>
    <row r="97" ht="15.75" customHeight="1">
      <c r="I97" s="158"/>
      <c r="AJ97" s="58"/>
      <c r="AK97" s="58"/>
      <c r="AL97" s="58"/>
    </row>
    <row r="98" ht="15.75" customHeight="1">
      <c r="I98" s="158"/>
      <c r="AJ98" s="58"/>
      <c r="AK98" s="58"/>
      <c r="AL98" s="58"/>
    </row>
    <row r="99" ht="15.75" customHeight="1">
      <c r="I99" s="158"/>
      <c r="AJ99" s="58"/>
      <c r="AK99" s="58"/>
      <c r="AL99" s="58"/>
    </row>
    <row r="100" ht="15.75" customHeight="1">
      <c r="I100" s="158"/>
      <c r="AJ100" s="58"/>
      <c r="AK100" s="58"/>
      <c r="AL100" s="58"/>
    </row>
    <row r="101" ht="15.75" customHeight="1">
      <c r="I101" s="158"/>
      <c r="AJ101" s="58"/>
      <c r="AK101" s="58"/>
      <c r="AL101" s="58"/>
    </row>
    <row r="102" ht="15.75" customHeight="1">
      <c r="I102" s="158"/>
      <c r="AJ102" s="58"/>
      <c r="AK102" s="58"/>
      <c r="AL102" s="58"/>
    </row>
    <row r="103" ht="15.75" customHeight="1">
      <c r="I103" s="158"/>
      <c r="AJ103" s="58"/>
      <c r="AK103" s="58"/>
      <c r="AL103" s="58"/>
    </row>
    <row r="104" ht="15.75" customHeight="1">
      <c r="I104" s="158"/>
      <c r="AJ104" s="58"/>
      <c r="AK104" s="58"/>
      <c r="AL104" s="58"/>
    </row>
    <row r="105" ht="15.75" customHeight="1">
      <c r="I105" s="158"/>
      <c r="AJ105" s="58"/>
      <c r="AK105" s="58"/>
      <c r="AL105" s="58"/>
    </row>
    <row r="106" ht="15.75" customHeight="1">
      <c r="I106" s="158"/>
      <c r="AJ106" s="58"/>
      <c r="AK106" s="58"/>
      <c r="AL106" s="58"/>
    </row>
    <row r="107" ht="15.75" customHeight="1">
      <c r="I107" s="158"/>
      <c r="AJ107" s="58"/>
      <c r="AK107" s="58"/>
      <c r="AL107" s="58"/>
    </row>
    <row r="108" ht="15.75" customHeight="1">
      <c r="I108" s="158"/>
      <c r="AJ108" s="58"/>
      <c r="AK108" s="58"/>
      <c r="AL108" s="58"/>
    </row>
    <row r="109" ht="15.75" customHeight="1">
      <c r="I109" s="158"/>
      <c r="AJ109" s="58"/>
      <c r="AK109" s="58"/>
      <c r="AL109" s="58"/>
    </row>
    <row r="110" ht="15.75" customHeight="1">
      <c r="I110" s="158"/>
      <c r="AJ110" s="58"/>
      <c r="AK110" s="58"/>
      <c r="AL110" s="58"/>
    </row>
    <row r="111" ht="15.75" customHeight="1">
      <c r="I111" s="158"/>
      <c r="AJ111" s="58"/>
      <c r="AK111" s="58"/>
      <c r="AL111" s="58"/>
    </row>
    <row r="112" ht="15.75" customHeight="1">
      <c r="I112" s="158"/>
      <c r="AJ112" s="58"/>
      <c r="AK112" s="58"/>
      <c r="AL112" s="58"/>
    </row>
    <row r="113" ht="15.75" customHeight="1">
      <c r="I113" s="158"/>
      <c r="AJ113" s="58"/>
      <c r="AK113" s="58"/>
      <c r="AL113" s="58"/>
    </row>
    <row r="114" ht="15.75" customHeight="1">
      <c r="I114" s="158"/>
      <c r="AJ114" s="58"/>
      <c r="AK114" s="58"/>
      <c r="AL114" s="58"/>
    </row>
    <row r="115" ht="15.75" customHeight="1">
      <c r="I115" s="158"/>
      <c r="AJ115" s="58"/>
      <c r="AK115" s="58"/>
      <c r="AL115" s="58"/>
    </row>
    <row r="116" ht="15.75" customHeight="1">
      <c r="I116" s="158"/>
      <c r="AJ116" s="58"/>
      <c r="AK116" s="58"/>
      <c r="AL116" s="58"/>
    </row>
    <row r="117" ht="15.75" customHeight="1">
      <c r="I117" s="158"/>
      <c r="AJ117" s="58"/>
      <c r="AK117" s="58"/>
      <c r="AL117" s="58"/>
    </row>
    <row r="118" ht="15.75" customHeight="1">
      <c r="I118" s="158"/>
      <c r="AJ118" s="58"/>
      <c r="AK118" s="58"/>
      <c r="AL118" s="58"/>
    </row>
    <row r="119" ht="15.75" customHeight="1">
      <c r="I119" s="158"/>
      <c r="AJ119" s="58"/>
      <c r="AK119" s="58"/>
      <c r="AL119" s="58"/>
    </row>
    <row r="120" ht="15.75" customHeight="1">
      <c r="I120" s="158"/>
      <c r="AJ120" s="58"/>
      <c r="AK120" s="58"/>
      <c r="AL120" s="58"/>
    </row>
    <row r="121" ht="15.75" customHeight="1">
      <c r="I121" s="158"/>
      <c r="AJ121" s="58"/>
      <c r="AK121" s="58"/>
      <c r="AL121" s="58"/>
    </row>
    <row r="122" ht="15.75" customHeight="1">
      <c r="I122" s="158"/>
      <c r="AJ122" s="58"/>
      <c r="AK122" s="58"/>
      <c r="AL122" s="58"/>
    </row>
    <row r="123" ht="15.75" customHeight="1">
      <c r="I123" s="158"/>
      <c r="AJ123" s="58"/>
      <c r="AK123" s="58"/>
      <c r="AL123" s="58"/>
    </row>
    <row r="124" ht="15.75" customHeight="1">
      <c r="I124" s="158"/>
      <c r="AJ124" s="58"/>
      <c r="AK124" s="58"/>
      <c r="AL124" s="58"/>
    </row>
    <row r="125" ht="15.75" customHeight="1">
      <c r="I125" s="158"/>
      <c r="AJ125" s="58"/>
      <c r="AK125" s="58"/>
      <c r="AL125" s="58"/>
    </row>
    <row r="126" ht="15.75" customHeight="1">
      <c r="I126" s="158"/>
      <c r="AJ126" s="58"/>
      <c r="AK126" s="58"/>
      <c r="AL126" s="58"/>
    </row>
    <row r="127" ht="15.75" customHeight="1">
      <c r="I127" s="158"/>
      <c r="AJ127" s="58"/>
      <c r="AK127" s="58"/>
      <c r="AL127" s="58"/>
    </row>
    <row r="128" ht="15.75" customHeight="1">
      <c r="I128" s="158"/>
      <c r="AJ128" s="58"/>
      <c r="AK128" s="58"/>
      <c r="AL128" s="58"/>
    </row>
    <row r="129" ht="15.75" customHeight="1">
      <c r="I129" s="158"/>
      <c r="AJ129" s="58"/>
      <c r="AK129" s="58"/>
      <c r="AL129" s="58"/>
    </row>
    <row r="130" ht="15.75" customHeight="1">
      <c r="I130" s="158"/>
      <c r="AJ130" s="58"/>
      <c r="AK130" s="58"/>
      <c r="AL130" s="58"/>
    </row>
    <row r="131" ht="15.75" customHeight="1">
      <c r="I131" s="158"/>
      <c r="AJ131" s="58"/>
      <c r="AK131" s="58"/>
      <c r="AL131" s="58"/>
    </row>
    <row r="132" ht="15.75" customHeight="1">
      <c r="I132" s="158"/>
      <c r="AJ132" s="58"/>
      <c r="AK132" s="58"/>
      <c r="AL132" s="58"/>
    </row>
    <row r="133" ht="15.75" customHeight="1">
      <c r="I133" s="158"/>
      <c r="AJ133" s="58"/>
      <c r="AK133" s="58"/>
      <c r="AL133" s="58"/>
    </row>
    <row r="134" ht="15.75" customHeight="1">
      <c r="I134" s="158"/>
      <c r="AJ134" s="58"/>
      <c r="AK134" s="58"/>
      <c r="AL134" s="58"/>
    </row>
    <row r="135" ht="15.75" customHeight="1">
      <c r="I135" s="158"/>
      <c r="AJ135" s="58"/>
      <c r="AK135" s="58"/>
      <c r="AL135" s="58"/>
    </row>
    <row r="136" ht="15.75" customHeight="1">
      <c r="I136" s="158"/>
      <c r="AJ136" s="58"/>
      <c r="AK136" s="58"/>
      <c r="AL136" s="58"/>
    </row>
    <row r="137" ht="15.75" customHeight="1">
      <c r="I137" s="158"/>
      <c r="AJ137" s="58"/>
      <c r="AK137" s="58"/>
      <c r="AL137" s="58"/>
    </row>
    <row r="138" ht="15.75" customHeight="1">
      <c r="I138" s="158"/>
      <c r="AJ138" s="58"/>
      <c r="AK138" s="58"/>
      <c r="AL138" s="58"/>
    </row>
    <row r="139" ht="15.75" customHeight="1">
      <c r="I139" s="158"/>
      <c r="AJ139" s="58"/>
      <c r="AK139" s="58"/>
      <c r="AL139" s="58"/>
    </row>
    <row r="140" ht="15.75" customHeight="1">
      <c r="I140" s="158"/>
      <c r="AJ140" s="58"/>
      <c r="AK140" s="58"/>
      <c r="AL140" s="58"/>
    </row>
    <row r="141" ht="15.75" customHeight="1">
      <c r="I141" s="158"/>
      <c r="AJ141" s="58"/>
      <c r="AK141" s="58"/>
      <c r="AL141" s="58"/>
    </row>
    <row r="142" ht="15.75" customHeight="1">
      <c r="I142" s="158"/>
      <c r="AJ142" s="58"/>
      <c r="AK142" s="58"/>
      <c r="AL142" s="58"/>
    </row>
    <row r="143" ht="15.75" customHeight="1">
      <c r="I143" s="158"/>
      <c r="AJ143" s="58"/>
      <c r="AK143" s="58"/>
      <c r="AL143" s="58"/>
    </row>
    <row r="144" ht="15.75" customHeight="1">
      <c r="I144" s="158"/>
      <c r="AJ144" s="58"/>
      <c r="AK144" s="58"/>
      <c r="AL144" s="58"/>
    </row>
    <row r="145" ht="15.75" customHeight="1">
      <c r="I145" s="158"/>
      <c r="AJ145" s="58"/>
      <c r="AK145" s="58"/>
      <c r="AL145" s="58"/>
    </row>
    <row r="146" ht="15.75" customHeight="1">
      <c r="I146" s="158"/>
      <c r="AJ146" s="58"/>
      <c r="AK146" s="58"/>
      <c r="AL146" s="58"/>
    </row>
    <row r="147" ht="15.75" customHeight="1">
      <c r="I147" s="158"/>
      <c r="AJ147" s="58"/>
      <c r="AK147" s="58"/>
      <c r="AL147" s="58"/>
    </row>
    <row r="148" ht="15.75" customHeight="1">
      <c r="I148" s="158"/>
      <c r="AJ148" s="58"/>
      <c r="AK148" s="58"/>
      <c r="AL148" s="58"/>
    </row>
    <row r="149" ht="15.75" customHeight="1">
      <c r="I149" s="158"/>
      <c r="AJ149" s="58"/>
      <c r="AK149" s="58"/>
      <c r="AL149" s="58"/>
    </row>
    <row r="150" ht="15.75" customHeight="1">
      <c r="I150" s="158"/>
      <c r="AJ150" s="58"/>
      <c r="AK150" s="58"/>
      <c r="AL150" s="58"/>
    </row>
    <row r="151" ht="15.75" customHeight="1">
      <c r="I151" s="158"/>
      <c r="AJ151" s="58"/>
      <c r="AK151" s="58"/>
      <c r="AL151" s="58"/>
    </row>
    <row r="152" ht="15.75" customHeight="1">
      <c r="I152" s="158"/>
      <c r="AJ152" s="58"/>
      <c r="AK152" s="58"/>
      <c r="AL152" s="58"/>
    </row>
    <row r="153" ht="15.75" customHeight="1">
      <c r="I153" s="158"/>
      <c r="AJ153" s="58"/>
      <c r="AK153" s="58"/>
      <c r="AL153" s="58"/>
    </row>
    <row r="154" ht="15.75" customHeight="1">
      <c r="I154" s="158"/>
      <c r="AJ154" s="58"/>
      <c r="AK154" s="58"/>
      <c r="AL154" s="58"/>
    </row>
    <row r="155" ht="15.75" customHeight="1">
      <c r="I155" s="158"/>
      <c r="AJ155" s="58"/>
      <c r="AK155" s="58"/>
      <c r="AL155" s="58"/>
    </row>
    <row r="156" ht="15.75" customHeight="1">
      <c r="I156" s="158"/>
      <c r="AJ156" s="58"/>
      <c r="AK156" s="58"/>
      <c r="AL156" s="58"/>
    </row>
    <row r="157" ht="15.75" customHeight="1">
      <c r="I157" s="158"/>
      <c r="AJ157" s="58"/>
      <c r="AK157" s="58"/>
      <c r="AL157" s="58"/>
    </row>
    <row r="158" ht="15.75" customHeight="1">
      <c r="I158" s="158"/>
      <c r="AJ158" s="58"/>
      <c r="AK158" s="58"/>
      <c r="AL158" s="58"/>
    </row>
    <row r="159" ht="15.75" customHeight="1">
      <c r="I159" s="158"/>
      <c r="AJ159" s="58"/>
      <c r="AK159" s="58"/>
      <c r="AL159" s="58"/>
    </row>
    <row r="160" ht="15.75" customHeight="1">
      <c r="I160" s="158"/>
      <c r="AJ160" s="58"/>
      <c r="AK160" s="58"/>
      <c r="AL160" s="58"/>
    </row>
    <row r="161" ht="15.75" customHeight="1">
      <c r="I161" s="158"/>
      <c r="AJ161" s="58"/>
      <c r="AK161" s="58"/>
      <c r="AL161" s="58"/>
    </row>
    <row r="162" ht="15.75" customHeight="1">
      <c r="I162" s="158"/>
      <c r="AJ162" s="58"/>
      <c r="AK162" s="58"/>
      <c r="AL162" s="58"/>
    </row>
    <row r="163" ht="15.75" customHeight="1">
      <c r="I163" s="158"/>
      <c r="AJ163" s="58"/>
      <c r="AK163" s="58"/>
      <c r="AL163" s="58"/>
    </row>
    <row r="164" ht="15.75" customHeight="1">
      <c r="I164" s="158"/>
      <c r="AJ164" s="58"/>
      <c r="AK164" s="58"/>
      <c r="AL164" s="58"/>
    </row>
    <row r="165" ht="15.75" customHeight="1">
      <c r="I165" s="158"/>
      <c r="AJ165" s="58"/>
      <c r="AK165" s="58"/>
      <c r="AL165" s="58"/>
    </row>
    <row r="166" ht="15.75" customHeight="1">
      <c r="I166" s="158"/>
      <c r="AJ166" s="58"/>
      <c r="AK166" s="58"/>
      <c r="AL166" s="58"/>
    </row>
    <row r="167" ht="15.75" customHeight="1">
      <c r="I167" s="158"/>
      <c r="AJ167" s="58"/>
      <c r="AK167" s="58"/>
      <c r="AL167" s="58"/>
    </row>
    <row r="168" ht="15.75" customHeight="1">
      <c r="I168" s="158"/>
      <c r="AJ168" s="58"/>
      <c r="AK168" s="58"/>
      <c r="AL168" s="58"/>
    </row>
    <row r="169" ht="15.75" customHeight="1">
      <c r="I169" s="158"/>
      <c r="AJ169" s="58"/>
      <c r="AK169" s="58"/>
      <c r="AL169" s="58"/>
    </row>
    <row r="170" ht="15.75" customHeight="1">
      <c r="I170" s="158"/>
      <c r="AJ170" s="58"/>
      <c r="AK170" s="58"/>
      <c r="AL170" s="58"/>
    </row>
    <row r="171" ht="15.75" customHeight="1">
      <c r="I171" s="158"/>
      <c r="AJ171" s="58"/>
      <c r="AK171" s="58"/>
      <c r="AL171" s="58"/>
    </row>
    <row r="172" ht="15.75" customHeight="1">
      <c r="I172" s="158"/>
      <c r="AJ172" s="58"/>
      <c r="AK172" s="58"/>
      <c r="AL172" s="58"/>
    </row>
    <row r="173" ht="15.75" customHeight="1">
      <c r="I173" s="158"/>
      <c r="AJ173" s="58"/>
      <c r="AK173" s="58"/>
      <c r="AL173" s="58"/>
    </row>
    <row r="174" ht="15.75" customHeight="1">
      <c r="I174" s="158"/>
      <c r="AJ174" s="58"/>
      <c r="AK174" s="58"/>
      <c r="AL174" s="58"/>
    </row>
    <row r="175" ht="15.75" customHeight="1">
      <c r="I175" s="158"/>
      <c r="AJ175" s="58"/>
      <c r="AK175" s="58"/>
      <c r="AL175" s="58"/>
    </row>
    <row r="176" ht="15.75" customHeight="1">
      <c r="I176" s="158"/>
      <c r="AJ176" s="58"/>
      <c r="AK176" s="58"/>
      <c r="AL176" s="58"/>
    </row>
    <row r="177" ht="15.75" customHeight="1">
      <c r="I177" s="158"/>
      <c r="AJ177" s="58"/>
      <c r="AK177" s="58"/>
      <c r="AL177" s="58"/>
    </row>
    <row r="178" ht="15.75" customHeight="1">
      <c r="I178" s="158"/>
      <c r="AJ178" s="58"/>
      <c r="AK178" s="58"/>
      <c r="AL178" s="58"/>
    </row>
    <row r="179" ht="15.75" customHeight="1">
      <c r="I179" s="158"/>
      <c r="AJ179" s="58"/>
      <c r="AK179" s="58"/>
      <c r="AL179" s="58"/>
    </row>
    <row r="180" ht="15.75" customHeight="1">
      <c r="I180" s="158"/>
      <c r="AJ180" s="58"/>
      <c r="AK180" s="58"/>
      <c r="AL180" s="58"/>
    </row>
    <row r="181" ht="15.75" customHeight="1">
      <c r="I181" s="158"/>
      <c r="AJ181" s="58"/>
      <c r="AK181" s="58"/>
      <c r="AL181" s="58"/>
    </row>
    <row r="182" ht="15.75" customHeight="1">
      <c r="I182" s="158"/>
      <c r="AJ182" s="58"/>
      <c r="AK182" s="58"/>
      <c r="AL182" s="58"/>
    </row>
    <row r="183" ht="15.75" customHeight="1">
      <c r="I183" s="158"/>
      <c r="AJ183" s="58"/>
      <c r="AK183" s="58"/>
      <c r="AL183" s="58"/>
    </row>
    <row r="184" ht="15.75" customHeight="1">
      <c r="I184" s="158"/>
      <c r="AJ184" s="58"/>
      <c r="AK184" s="58"/>
      <c r="AL184" s="58"/>
    </row>
    <row r="185" ht="15.75" customHeight="1">
      <c r="I185" s="158"/>
      <c r="AJ185" s="58"/>
      <c r="AK185" s="58"/>
      <c r="AL185" s="58"/>
    </row>
    <row r="186" ht="15.75" customHeight="1">
      <c r="I186" s="158"/>
      <c r="AJ186" s="58"/>
      <c r="AK186" s="58"/>
      <c r="AL186" s="58"/>
    </row>
    <row r="187" ht="15.75" customHeight="1">
      <c r="I187" s="158"/>
      <c r="AJ187" s="58"/>
      <c r="AK187" s="58"/>
      <c r="AL187" s="58"/>
    </row>
    <row r="188" ht="15.75" customHeight="1">
      <c r="I188" s="158"/>
      <c r="AJ188" s="58"/>
      <c r="AK188" s="58"/>
      <c r="AL188" s="58"/>
    </row>
    <row r="189" ht="15.75" customHeight="1">
      <c r="I189" s="158"/>
      <c r="AJ189" s="58"/>
      <c r="AK189" s="58"/>
      <c r="AL189" s="58"/>
    </row>
    <row r="190" ht="15.75" customHeight="1">
      <c r="I190" s="158"/>
      <c r="AJ190" s="58"/>
      <c r="AK190" s="58"/>
      <c r="AL190" s="58"/>
    </row>
    <row r="191" ht="15.75" customHeight="1">
      <c r="I191" s="158"/>
      <c r="AJ191" s="58"/>
      <c r="AK191" s="58"/>
      <c r="AL191" s="58"/>
    </row>
    <row r="192" ht="15.75" customHeight="1">
      <c r="I192" s="158"/>
      <c r="AJ192" s="58"/>
      <c r="AK192" s="58"/>
      <c r="AL192" s="58"/>
    </row>
    <row r="193" ht="15.75" customHeight="1">
      <c r="I193" s="158"/>
      <c r="AJ193" s="58"/>
      <c r="AK193" s="58"/>
      <c r="AL193" s="58"/>
    </row>
    <row r="194" ht="15.75" customHeight="1">
      <c r="I194" s="158"/>
      <c r="AJ194" s="58"/>
      <c r="AK194" s="58"/>
      <c r="AL194" s="58"/>
    </row>
    <row r="195" ht="15.75" customHeight="1">
      <c r="I195" s="158"/>
      <c r="AJ195" s="58"/>
      <c r="AK195" s="58"/>
      <c r="AL195" s="58"/>
    </row>
    <row r="196" ht="15.75" customHeight="1">
      <c r="I196" s="158"/>
      <c r="AJ196" s="58"/>
      <c r="AK196" s="58"/>
      <c r="AL196" s="58"/>
    </row>
    <row r="197" ht="15.75" customHeight="1">
      <c r="I197" s="158"/>
      <c r="AJ197" s="58"/>
      <c r="AK197" s="58"/>
      <c r="AL197" s="58"/>
    </row>
    <row r="198" ht="15.75" customHeight="1">
      <c r="I198" s="158"/>
      <c r="AJ198" s="58"/>
      <c r="AK198" s="58"/>
      <c r="AL198" s="58"/>
    </row>
    <row r="199" ht="15.75" customHeight="1">
      <c r="I199" s="158"/>
      <c r="AJ199" s="58"/>
      <c r="AK199" s="58"/>
      <c r="AL199" s="58"/>
    </row>
    <row r="200" ht="15.75" customHeight="1">
      <c r="I200" s="158"/>
      <c r="AJ200" s="58"/>
      <c r="AK200" s="58"/>
      <c r="AL200" s="58"/>
    </row>
    <row r="201" ht="15.75" customHeight="1">
      <c r="I201" s="158"/>
      <c r="AJ201" s="58"/>
      <c r="AK201" s="58"/>
      <c r="AL201" s="58"/>
    </row>
    <row r="202" ht="15.75" customHeight="1">
      <c r="I202" s="158"/>
      <c r="AJ202" s="58"/>
      <c r="AK202" s="58"/>
      <c r="AL202" s="58"/>
    </row>
    <row r="203" ht="15.75" customHeight="1">
      <c r="I203" s="158"/>
      <c r="AJ203" s="58"/>
      <c r="AK203" s="58"/>
      <c r="AL203" s="58"/>
    </row>
    <row r="204" ht="15.75" customHeight="1">
      <c r="I204" s="158"/>
      <c r="AJ204" s="58"/>
      <c r="AK204" s="58"/>
      <c r="AL204" s="58"/>
    </row>
    <row r="205" ht="15.75" customHeight="1">
      <c r="I205" s="158"/>
      <c r="AJ205" s="58"/>
      <c r="AK205" s="58"/>
      <c r="AL205" s="58"/>
    </row>
    <row r="206" ht="15.75" customHeight="1">
      <c r="I206" s="158"/>
      <c r="AJ206" s="58"/>
      <c r="AK206" s="58"/>
      <c r="AL206" s="58"/>
    </row>
    <row r="207" ht="15.75" customHeight="1">
      <c r="I207" s="158"/>
      <c r="AJ207" s="58"/>
      <c r="AK207" s="58"/>
      <c r="AL207" s="58"/>
    </row>
    <row r="208" ht="15.75" customHeight="1">
      <c r="I208" s="158"/>
      <c r="AJ208" s="58"/>
      <c r="AK208" s="58"/>
      <c r="AL208" s="58"/>
    </row>
    <row r="209" ht="15.75" customHeight="1">
      <c r="I209" s="158"/>
      <c r="AJ209" s="58"/>
      <c r="AK209" s="58"/>
      <c r="AL209" s="58"/>
    </row>
    <row r="210" ht="15.75" customHeight="1">
      <c r="I210" s="158"/>
      <c r="AJ210" s="58"/>
      <c r="AK210" s="58"/>
      <c r="AL210" s="58"/>
    </row>
    <row r="211" ht="15.75" customHeight="1">
      <c r="I211" s="158"/>
      <c r="AJ211" s="58"/>
      <c r="AK211" s="58"/>
      <c r="AL211" s="58"/>
    </row>
    <row r="212" ht="15.75" customHeight="1">
      <c r="I212" s="158"/>
    </row>
    <row r="213" ht="15.75" customHeight="1">
      <c r="I213" s="158"/>
    </row>
    <row r="214" ht="15.75" customHeight="1">
      <c r="I214" s="158"/>
    </row>
    <row r="215" ht="15.75" customHeight="1">
      <c r="I215" s="158"/>
    </row>
    <row r="216" ht="15.75" customHeight="1">
      <c r="I216" s="158"/>
    </row>
    <row r="217" ht="15.75" customHeight="1">
      <c r="I217" s="158"/>
    </row>
    <row r="218" ht="15.75" customHeight="1">
      <c r="I218" s="158"/>
    </row>
    <row r="219" ht="15.75" customHeight="1">
      <c r="I219" s="158"/>
    </row>
    <row r="220" ht="15.75" customHeight="1">
      <c r="I220" s="158"/>
    </row>
    <row r="221" ht="15.75" customHeight="1">
      <c r="I221" s="158"/>
    </row>
    <row r="222" ht="15.75" customHeight="1">
      <c r="I222" s="158"/>
    </row>
    <row r="223" ht="15.75" customHeight="1">
      <c r="I223" s="158"/>
    </row>
    <row r="224" ht="15.75" customHeight="1">
      <c r="I224" s="158"/>
    </row>
    <row r="225" ht="15.75" customHeight="1">
      <c r="I225" s="158"/>
    </row>
    <row r="226" ht="15.75" customHeight="1">
      <c r="I226" s="158"/>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1:J1"/>
    <mergeCell ref="K1:L1"/>
    <mergeCell ref="A19:B19"/>
    <mergeCell ref="A20:B20"/>
  </mergeCells>
  <conditionalFormatting sqref="A21:A26">
    <cfRule type="beginsWith" dxfId="0" priority="1" operator="beginsWith" text="P">
      <formula>LEFT((A21),LEN("P"))=("P")</formula>
    </cfRule>
  </conditionalFormatting>
  <conditionalFormatting sqref="A21:A26">
    <cfRule type="containsText" dxfId="1" priority="2" operator="containsText" text="N-P">
      <formula>NOT(ISERROR(SEARCH(("N-P"),(A21))))</formula>
    </cfRule>
  </conditionalFormatting>
  <conditionalFormatting sqref="A21:A26">
    <cfRule type="containsText" dxfId="2" priority="3" operator="containsText" text="R">
      <formula>NOT(ISERROR(SEARCH(("R"),(A21))))</formula>
    </cfRule>
  </conditionalFormatting>
  <conditionalFormatting sqref="A21:A26">
    <cfRule type="containsText" dxfId="3" priority="4" operator="containsText" text="A-S">
      <formula>NOT(ISERROR(SEARCH(("A-S"),(A21))))</formula>
    </cfRule>
  </conditionalFormatting>
  <conditionalFormatting sqref="A21:A26">
    <cfRule type="beginsWith" dxfId="4" priority="5" operator="beginsWith" text="S">
      <formula>LEFT((A21),LEN("S"))=("S")</formula>
    </cfRule>
  </conditionalFormatting>
  <conditionalFormatting sqref="D3:D10">
    <cfRule type="beginsWith" dxfId="0" priority="6" operator="beginsWith" text="P">
      <formula>LEFT((D3),LEN("P"))=("P")</formula>
    </cfRule>
  </conditionalFormatting>
  <conditionalFormatting sqref="D3:D10">
    <cfRule type="containsText" dxfId="1" priority="7" operator="containsText" text="N-P">
      <formula>NOT(ISERROR(SEARCH(("N-P"),(D3))))</formula>
    </cfRule>
  </conditionalFormatting>
  <conditionalFormatting sqref="D3:D10">
    <cfRule type="containsText" dxfId="2" priority="8" operator="containsText" text="R">
      <formula>NOT(ISERROR(SEARCH(("R"),(D3))))</formula>
    </cfRule>
  </conditionalFormatting>
  <conditionalFormatting sqref="D3:D10">
    <cfRule type="containsText" dxfId="3" priority="9" operator="containsText" text="A-S">
      <formula>NOT(ISERROR(SEARCH(("A-S"),(D3))))</formula>
    </cfRule>
  </conditionalFormatting>
  <conditionalFormatting sqref="D3:D10">
    <cfRule type="beginsWith" dxfId="4" priority="10" operator="beginsWith" text="S">
      <formula>LEFT((D3),LEN("S"))=("S")</formula>
    </cfRule>
  </conditionalFormatting>
  <dataValidations>
    <dataValidation type="list" allowBlank="1" showErrorMessage="1" sqref="D3:D10">
      <formula1>'17025 SAL'!$A$207:$A$212</formula1>
    </dataValidation>
  </dataValidations>
  <hyperlinks>
    <hyperlink r:id="rId4" ref="M4"/>
    <hyperlink r:id="rId5" ref="N4"/>
    <hyperlink r:id="rId6" ref="U6"/>
    <hyperlink r:id="rId7" ref="M9"/>
    <hyperlink r:id="rId8" ref="N9"/>
    <hyperlink r:id="rId9" ref="U9"/>
    <hyperlink r:id="rId10" ref="AI9"/>
    <hyperlink r:id="rId11" ref="M10"/>
  </hyperlinks>
  <printOptions/>
  <pageMargins bottom="0.75" footer="0.0" header="0.0" left="0.7" right="0.7" top="0.75"/>
  <pageSetup orientation="landscape"/>
  <drawing r:id="rId12"/>
  <legacyDrawing r:id="rId1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14"/>
    <col customWidth="1" min="2" max="2" width="40.14"/>
    <col customWidth="1" min="3" max="3" width="12.86"/>
    <col customWidth="1" min="4" max="4" width="3.86"/>
    <col customWidth="1" min="5" max="5" width="32.0"/>
    <col customWidth="1" min="6" max="6" width="11.43"/>
    <col customWidth="1" min="7" max="7" width="4.14"/>
    <col customWidth="1" min="8" max="8" width="24.29"/>
    <col customWidth="1" min="9" max="26" width="11.43"/>
  </cols>
  <sheetData>
    <row r="1" ht="14.25" customHeight="1">
      <c r="A1" s="149"/>
      <c r="B1" s="160" t="s">
        <v>5045</v>
      </c>
      <c r="C1" s="161"/>
      <c r="D1" s="149"/>
      <c r="E1" s="149"/>
      <c r="F1" s="149"/>
      <c r="G1" s="149"/>
      <c r="H1" s="149"/>
      <c r="I1" s="149"/>
      <c r="J1" s="149"/>
      <c r="K1" s="149"/>
      <c r="L1" s="149"/>
      <c r="M1" s="149"/>
      <c r="N1" s="149"/>
      <c r="O1" s="149"/>
      <c r="P1" s="149"/>
      <c r="Q1" s="149"/>
      <c r="R1" s="149"/>
      <c r="S1" s="149"/>
      <c r="T1" s="149"/>
      <c r="U1" s="149"/>
      <c r="V1" s="149"/>
      <c r="W1" s="149"/>
      <c r="X1" s="149"/>
    </row>
    <row r="2" ht="14.25" customHeight="1">
      <c r="A2" s="149"/>
      <c r="B2" s="162" t="s">
        <v>5046</v>
      </c>
      <c r="C2" s="163">
        <f>COUNTIFS('17020 SAI'!$D$3:$D$81,"S")</f>
        <v>2</v>
      </c>
      <c r="D2" s="149"/>
      <c r="E2" s="149"/>
      <c r="F2" s="149"/>
      <c r="G2" s="149"/>
      <c r="H2" s="149"/>
      <c r="I2" s="149"/>
      <c r="J2" s="149"/>
      <c r="K2" s="149"/>
      <c r="L2" s="149"/>
      <c r="M2" s="149"/>
      <c r="N2" s="149"/>
      <c r="O2" s="149"/>
      <c r="P2" s="149"/>
      <c r="Q2" s="149"/>
      <c r="R2" s="149"/>
      <c r="S2" s="149"/>
      <c r="T2" s="149"/>
      <c r="U2" s="149"/>
      <c r="V2" s="149"/>
      <c r="W2" s="149"/>
      <c r="X2" s="149"/>
    </row>
    <row r="3" ht="14.25" customHeight="1">
      <c r="A3" s="149"/>
      <c r="B3" s="164" t="s">
        <v>5047</v>
      </c>
      <c r="C3" s="165">
        <f>COUNTIFS('17020 SAI'!$D$3:$D$81,"A-S")</f>
        <v>2</v>
      </c>
      <c r="D3" s="149"/>
      <c r="E3" s="149"/>
      <c r="F3" s="149"/>
      <c r="G3" s="149"/>
      <c r="H3" s="149"/>
      <c r="I3" s="149"/>
      <c r="J3" s="149"/>
      <c r="K3" s="149"/>
      <c r="L3" s="149"/>
      <c r="M3" s="149"/>
      <c r="N3" s="149"/>
      <c r="O3" s="149"/>
      <c r="P3" s="149"/>
      <c r="Q3" s="149"/>
      <c r="R3" s="149"/>
      <c r="S3" s="149"/>
      <c r="T3" s="149"/>
      <c r="U3" s="149"/>
      <c r="V3" s="149"/>
      <c r="W3" s="149"/>
      <c r="X3" s="149"/>
    </row>
    <row r="4" ht="14.25" customHeight="1">
      <c r="A4" s="149"/>
      <c r="B4" s="166" t="s">
        <v>5048</v>
      </c>
      <c r="C4" s="167">
        <f>COUNTIFS('17020 SAI'!$D$3:$D$81,"A")+C2+C3</f>
        <v>39</v>
      </c>
      <c r="D4" s="149"/>
      <c r="E4" s="149"/>
      <c r="F4" s="149"/>
      <c r="G4" s="149"/>
      <c r="H4" s="149"/>
      <c r="I4" s="149"/>
      <c r="J4" s="149"/>
      <c r="K4" s="149"/>
      <c r="L4" s="149"/>
      <c r="M4" s="149"/>
      <c r="N4" s="149"/>
      <c r="O4" s="149"/>
      <c r="P4" s="149"/>
      <c r="Q4" s="149"/>
      <c r="R4" s="149"/>
      <c r="S4" s="149"/>
      <c r="T4" s="149"/>
      <c r="U4" s="149"/>
      <c r="V4" s="149"/>
      <c r="W4" s="149"/>
      <c r="X4" s="149"/>
    </row>
    <row r="5" ht="14.25" customHeight="1">
      <c r="A5" s="149"/>
      <c r="B5" s="164" t="s">
        <v>5049</v>
      </c>
      <c r="C5" s="165">
        <f>COUNTIFS('17020 SAI'!$D$3:$D$81,"P")</f>
        <v>2</v>
      </c>
      <c r="D5" s="149"/>
      <c r="E5" s="149"/>
      <c r="F5" s="149"/>
      <c r="G5" s="149"/>
      <c r="H5" s="149"/>
      <c r="I5" s="149"/>
      <c r="J5" s="149"/>
      <c r="K5" s="149"/>
      <c r="L5" s="149"/>
      <c r="M5" s="149"/>
      <c r="N5" s="149"/>
      <c r="O5" s="149"/>
      <c r="P5" s="149"/>
      <c r="Q5" s="149"/>
      <c r="R5" s="149"/>
      <c r="S5" s="149"/>
      <c r="T5" s="149"/>
      <c r="U5" s="149"/>
      <c r="V5" s="149"/>
      <c r="W5" s="149"/>
      <c r="X5" s="149"/>
    </row>
    <row r="6" ht="14.25" customHeight="1">
      <c r="A6" s="149"/>
      <c r="B6" s="168"/>
      <c r="C6" s="149"/>
      <c r="D6" s="149"/>
      <c r="E6" s="149"/>
      <c r="F6" s="149"/>
      <c r="G6" s="149"/>
      <c r="H6" s="149"/>
      <c r="I6" s="149"/>
      <c r="J6" s="149"/>
      <c r="K6" s="149"/>
      <c r="L6" s="149"/>
      <c r="M6" s="149"/>
      <c r="N6" s="149"/>
      <c r="O6" s="149"/>
      <c r="P6" s="149"/>
      <c r="Q6" s="149"/>
      <c r="R6" s="149"/>
      <c r="S6" s="149"/>
      <c r="T6" s="149"/>
      <c r="U6" s="149"/>
      <c r="V6" s="149"/>
      <c r="W6" s="149"/>
      <c r="X6" s="149"/>
    </row>
    <row r="7" ht="14.25" customHeight="1">
      <c r="A7" s="149"/>
      <c r="B7" s="169" t="s">
        <v>5050</v>
      </c>
      <c r="C7" s="161"/>
      <c r="D7" s="149"/>
      <c r="E7" s="149"/>
      <c r="F7" s="149"/>
      <c r="G7" s="149"/>
      <c r="H7" s="149"/>
      <c r="I7" s="149"/>
      <c r="J7" s="149"/>
      <c r="K7" s="149"/>
      <c r="L7" s="149"/>
      <c r="M7" s="149"/>
      <c r="N7" s="149"/>
      <c r="O7" s="149"/>
      <c r="P7" s="149"/>
      <c r="Q7" s="149"/>
      <c r="R7" s="149"/>
      <c r="S7" s="149"/>
      <c r="T7" s="149"/>
      <c r="U7" s="149"/>
      <c r="V7" s="149"/>
      <c r="W7" s="149"/>
      <c r="X7" s="149"/>
    </row>
    <row r="8" ht="14.25" customHeight="1">
      <c r="A8" s="149"/>
      <c r="B8" s="162" t="s">
        <v>5051</v>
      </c>
      <c r="C8" s="163">
        <f>COUNTIFS('17025 SAL'!$D$3:$D$202,"A",'17025 SAL'!$C$3:$C$202,"LC")</f>
        <v>33</v>
      </c>
      <c r="D8" s="149"/>
      <c r="E8" s="149"/>
      <c r="F8" s="149"/>
      <c r="G8" s="149"/>
      <c r="H8" s="149"/>
      <c r="I8" s="149"/>
      <c r="J8" s="149"/>
      <c r="K8" s="149"/>
      <c r="L8" s="149"/>
      <c r="M8" s="149"/>
      <c r="N8" s="149"/>
      <c r="O8" s="149"/>
      <c r="P8" s="149"/>
      <c r="Q8" s="149"/>
      <c r="R8" s="149"/>
      <c r="S8" s="149"/>
      <c r="T8" s="149"/>
      <c r="U8" s="149"/>
      <c r="V8" s="149"/>
      <c r="W8" s="149"/>
      <c r="X8" s="149"/>
    </row>
    <row r="9" ht="14.25" customHeight="1">
      <c r="A9" s="149"/>
      <c r="B9" s="162" t="s">
        <v>5052</v>
      </c>
      <c r="C9" s="163">
        <f>COUNTIFS('17025 SAL'!$D$3:$D$202,"A",'17025 SAL'!$C$3:$C$202,"LE")</f>
        <v>86</v>
      </c>
      <c r="D9" s="149"/>
      <c r="E9" s="149"/>
      <c r="F9" s="149"/>
      <c r="G9" s="149"/>
      <c r="H9" s="149"/>
      <c r="I9" s="149"/>
      <c r="J9" s="149"/>
      <c r="K9" s="149"/>
      <c r="L9" s="149"/>
      <c r="M9" s="149"/>
      <c r="N9" s="149"/>
      <c r="O9" s="149"/>
      <c r="P9" s="149"/>
      <c r="Q9" s="149"/>
      <c r="R9" s="149"/>
      <c r="S9" s="149"/>
      <c r="T9" s="149"/>
      <c r="U9" s="149"/>
      <c r="V9" s="149"/>
      <c r="W9" s="149"/>
      <c r="X9" s="149"/>
    </row>
    <row r="10" ht="14.25" customHeight="1">
      <c r="A10" s="149"/>
      <c r="B10" s="162" t="s">
        <v>5053</v>
      </c>
      <c r="C10" s="163">
        <f>COUNTIFS('17025 SAL'!$D$3:$D$202,"S",'17025 SAL'!$C$3:$C$202,"LC")</f>
        <v>1</v>
      </c>
      <c r="D10" s="149"/>
      <c r="E10" s="149"/>
      <c r="F10" s="149"/>
      <c r="G10" s="149"/>
      <c r="H10" s="149"/>
      <c r="I10" s="149"/>
      <c r="J10" s="149"/>
      <c r="K10" s="149"/>
      <c r="L10" s="149"/>
      <c r="M10" s="149"/>
      <c r="N10" s="149"/>
      <c r="O10" s="149"/>
      <c r="P10" s="149"/>
      <c r="Q10" s="149"/>
      <c r="R10" s="149"/>
      <c r="S10" s="149"/>
      <c r="T10" s="149"/>
      <c r="U10" s="149"/>
      <c r="V10" s="149"/>
      <c r="W10" s="149"/>
      <c r="X10" s="149"/>
    </row>
    <row r="11" ht="14.25" customHeight="1">
      <c r="A11" s="149"/>
      <c r="B11" s="162" t="s">
        <v>5054</v>
      </c>
      <c r="C11" s="163">
        <f>COUNTIFS('17025 SAL'!$D$3:$D$202,"S",'17025 SAL'!$C$3:$C$202,"LE")</f>
        <v>3</v>
      </c>
      <c r="D11" s="149"/>
      <c r="E11" s="149"/>
      <c r="F11" s="149"/>
      <c r="G11" s="149"/>
      <c r="H11" s="149"/>
      <c r="I11" s="149"/>
      <c r="J11" s="149"/>
      <c r="K11" s="149"/>
      <c r="L11" s="149"/>
      <c r="M11" s="149"/>
      <c r="N11" s="149"/>
      <c r="O11" s="149"/>
      <c r="P11" s="149"/>
      <c r="Q11" s="149"/>
      <c r="R11" s="149"/>
      <c r="S11" s="149"/>
      <c r="T11" s="149"/>
      <c r="U11" s="149"/>
      <c r="V11" s="149"/>
      <c r="W11" s="149"/>
      <c r="X11" s="149"/>
    </row>
    <row r="12" ht="14.25" customHeight="1">
      <c r="A12" s="149"/>
      <c r="B12" s="162" t="s">
        <v>5055</v>
      </c>
      <c r="C12" s="163">
        <f>COUNTIFS('17025 SAL'!$D$3:$D$202,"A-S",'17025 SAL'!$C$3:$C$202,"LC")</f>
        <v>0</v>
      </c>
      <c r="D12" s="149"/>
      <c r="E12" s="168"/>
      <c r="F12" s="149"/>
      <c r="G12" s="149"/>
      <c r="H12" s="149"/>
      <c r="I12" s="149"/>
      <c r="J12" s="149"/>
      <c r="K12" s="149"/>
      <c r="L12" s="149"/>
      <c r="M12" s="149"/>
      <c r="N12" s="149"/>
      <c r="O12" s="149"/>
      <c r="P12" s="149"/>
      <c r="Q12" s="149"/>
      <c r="R12" s="149"/>
      <c r="S12" s="149"/>
      <c r="T12" s="149"/>
      <c r="U12" s="149"/>
      <c r="V12" s="149"/>
      <c r="W12" s="149"/>
      <c r="X12" s="149"/>
      <c r="Y12" s="149"/>
      <c r="Z12" s="149"/>
    </row>
    <row r="13" ht="14.25" customHeight="1">
      <c r="A13" s="149"/>
      <c r="B13" s="162" t="s">
        <v>5056</v>
      </c>
      <c r="C13" s="163">
        <f>COUNTIFS('17025 SAL'!$D$3:$D$202,"A-S",'17025 SAL'!$C$3:$C$202,"LE")</f>
        <v>3</v>
      </c>
      <c r="D13" s="149"/>
      <c r="E13" s="170" t="s">
        <v>5057</v>
      </c>
      <c r="F13" s="171">
        <f>C4+C16+C24+C31+C51+C52</f>
        <v>191</v>
      </c>
      <c r="G13" s="149"/>
      <c r="H13" s="149" t="s">
        <v>5058</v>
      </c>
      <c r="I13" s="149"/>
      <c r="J13" s="149"/>
      <c r="K13" s="149"/>
      <c r="L13" s="149"/>
      <c r="M13" s="149"/>
      <c r="N13" s="149"/>
      <c r="O13" s="149"/>
      <c r="P13" s="149"/>
      <c r="Q13" s="149"/>
      <c r="R13" s="149"/>
      <c r="S13" s="149"/>
      <c r="T13" s="149"/>
      <c r="U13" s="149"/>
      <c r="V13" s="149"/>
      <c r="W13" s="149"/>
      <c r="X13" s="149"/>
      <c r="Y13" s="149"/>
      <c r="Z13" s="149"/>
    </row>
    <row r="14" ht="14.25" customHeight="1">
      <c r="A14" s="149"/>
      <c r="B14" s="172" t="s">
        <v>5059</v>
      </c>
      <c r="C14" s="173">
        <f t="shared" ref="C14:C15" si="1">C8+C12+C10</f>
        <v>34</v>
      </c>
      <c r="D14" s="149"/>
      <c r="E14" s="168"/>
      <c r="F14" s="149"/>
      <c r="G14" s="149"/>
      <c r="H14" s="149"/>
      <c r="I14" s="149"/>
      <c r="J14" s="168"/>
      <c r="K14" s="149"/>
      <c r="L14" s="149"/>
      <c r="M14" s="149"/>
      <c r="N14" s="149"/>
      <c r="O14" s="149"/>
      <c r="P14" s="149"/>
      <c r="Q14" s="149"/>
      <c r="R14" s="149"/>
      <c r="S14" s="149"/>
      <c r="T14" s="149"/>
      <c r="U14" s="149"/>
      <c r="V14" s="149"/>
      <c r="W14" s="149"/>
      <c r="X14" s="149"/>
      <c r="Y14" s="149"/>
      <c r="Z14" s="149"/>
    </row>
    <row r="15" ht="14.25" customHeight="1">
      <c r="A15" s="149"/>
      <c r="B15" s="172" t="s">
        <v>5060</v>
      </c>
      <c r="C15" s="173">
        <f t="shared" si="1"/>
        <v>92</v>
      </c>
      <c r="D15" s="149"/>
      <c r="E15" s="168"/>
      <c r="F15" s="149"/>
      <c r="G15" s="149"/>
      <c r="H15" s="149"/>
      <c r="I15" s="149"/>
      <c r="J15" s="149"/>
      <c r="K15" s="149"/>
      <c r="L15" s="149"/>
      <c r="M15" s="149"/>
      <c r="N15" s="149"/>
      <c r="O15" s="149"/>
      <c r="P15" s="149"/>
      <c r="Q15" s="149"/>
      <c r="R15" s="149"/>
      <c r="S15" s="149"/>
      <c r="T15" s="149"/>
      <c r="U15" s="149"/>
      <c r="V15" s="149"/>
      <c r="W15" s="149"/>
      <c r="X15" s="149"/>
      <c r="Y15" s="149"/>
      <c r="Z15" s="149"/>
    </row>
    <row r="16" ht="14.25" customHeight="1">
      <c r="A16" s="149"/>
      <c r="B16" s="166" t="s">
        <v>5061</v>
      </c>
      <c r="C16" s="167">
        <f>C14+C15</f>
        <v>126</v>
      </c>
      <c r="D16" s="149"/>
      <c r="E16" s="168"/>
      <c r="F16" s="149"/>
      <c r="G16" s="149"/>
      <c r="H16" s="149"/>
      <c r="I16" s="149"/>
      <c r="J16" s="149"/>
      <c r="K16" s="149"/>
      <c r="L16" s="149"/>
      <c r="M16" s="149"/>
      <c r="N16" s="149"/>
      <c r="O16" s="149"/>
      <c r="P16" s="149"/>
      <c r="Q16" s="149"/>
      <c r="R16" s="149"/>
      <c r="S16" s="149"/>
      <c r="T16" s="149"/>
      <c r="U16" s="149"/>
      <c r="V16" s="149"/>
      <c r="W16" s="149"/>
      <c r="X16" s="149"/>
      <c r="Y16" s="149"/>
      <c r="Z16" s="149"/>
    </row>
    <row r="17" ht="14.25" customHeight="1">
      <c r="A17" s="149"/>
      <c r="B17" s="162" t="s">
        <v>5062</v>
      </c>
      <c r="C17" s="163">
        <f>COUNTIFS('17025 SAL'!$D$3:$D$202,"P",'17025 SAL'!$C$3:$C$202,"LC")</f>
        <v>0</v>
      </c>
      <c r="D17" s="149"/>
      <c r="E17" s="149"/>
      <c r="F17" s="149"/>
      <c r="G17" s="149"/>
      <c r="H17" s="149"/>
      <c r="I17" s="149"/>
      <c r="J17" s="149"/>
      <c r="K17" s="149"/>
      <c r="L17" s="149"/>
      <c r="M17" s="149"/>
      <c r="N17" s="149"/>
      <c r="O17" s="149"/>
      <c r="P17" s="149"/>
      <c r="Q17" s="149"/>
      <c r="R17" s="149"/>
      <c r="S17" s="149"/>
      <c r="T17" s="149"/>
      <c r="U17" s="149"/>
      <c r="V17" s="149"/>
      <c r="W17" s="149"/>
      <c r="X17" s="149"/>
    </row>
    <row r="18" ht="14.25" customHeight="1">
      <c r="A18" s="149"/>
      <c r="B18" s="162" t="s">
        <v>5063</v>
      </c>
      <c r="C18" s="163">
        <f>COUNTIFS('17025 SAL'!$D$3:$D$202,"P",'17025 SAL'!$C$3:$C$202,"LE")</f>
        <v>8</v>
      </c>
      <c r="D18" s="149"/>
      <c r="E18" s="149"/>
      <c r="F18" s="149"/>
      <c r="G18" s="149"/>
      <c r="H18" s="149"/>
      <c r="I18" s="149"/>
      <c r="J18" s="149"/>
      <c r="K18" s="149"/>
      <c r="L18" s="149"/>
      <c r="M18" s="149"/>
      <c r="N18" s="149"/>
      <c r="O18" s="149"/>
      <c r="P18" s="149"/>
      <c r="Q18" s="149"/>
      <c r="R18" s="149"/>
      <c r="S18" s="149"/>
      <c r="T18" s="149"/>
      <c r="U18" s="149"/>
      <c r="V18" s="149"/>
      <c r="W18" s="149"/>
      <c r="X18" s="149"/>
    </row>
    <row r="19" ht="14.25" customHeight="1">
      <c r="A19" s="149"/>
      <c r="B19" s="164" t="s">
        <v>5064</v>
      </c>
      <c r="C19" s="165">
        <f>C17+C18</f>
        <v>8</v>
      </c>
      <c r="D19" s="149"/>
      <c r="E19" s="168"/>
      <c r="F19" s="149"/>
      <c r="G19" s="149"/>
      <c r="H19" s="149"/>
      <c r="I19" s="149"/>
      <c r="J19" s="149"/>
      <c r="K19" s="149"/>
      <c r="L19" s="149"/>
      <c r="M19" s="149"/>
      <c r="N19" s="149"/>
      <c r="O19" s="149"/>
      <c r="P19" s="149"/>
      <c r="Q19" s="149"/>
      <c r="R19" s="149"/>
      <c r="S19" s="149"/>
      <c r="T19" s="149"/>
      <c r="U19" s="149"/>
      <c r="V19" s="149"/>
      <c r="W19" s="149"/>
      <c r="X19" s="149"/>
      <c r="Y19" s="149"/>
      <c r="Z19" s="149"/>
    </row>
    <row r="20" ht="14.25" customHeight="1">
      <c r="A20" s="168"/>
      <c r="B20" s="168"/>
      <c r="C20" s="168"/>
      <c r="D20" s="168"/>
      <c r="E20" s="168"/>
      <c r="F20" s="149"/>
      <c r="G20" s="149"/>
      <c r="H20" s="149"/>
      <c r="I20" s="149"/>
      <c r="J20" s="149"/>
      <c r="K20" s="149"/>
      <c r="L20" s="149"/>
      <c r="M20" s="149"/>
      <c r="N20" s="149"/>
      <c r="O20" s="149"/>
      <c r="P20" s="149"/>
      <c r="Q20" s="149"/>
      <c r="R20" s="149"/>
      <c r="S20" s="149"/>
      <c r="T20" s="149"/>
      <c r="U20" s="149"/>
      <c r="V20" s="149"/>
      <c r="W20" s="149"/>
      <c r="X20" s="149"/>
      <c r="Y20" s="149"/>
      <c r="Z20" s="149"/>
    </row>
    <row r="21" ht="15.75" customHeight="1">
      <c r="A21" s="149"/>
      <c r="B21" s="174" t="s">
        <v>5065</v>
      </c>
      <c r="C21" s="175"/>
      <c r="D21" s="149"/>
      <c r="E21" s="168"/>
      <c r="F21" s="149"/>
      <c r="G21" s="149"/>
      <c r="H21" s="149"/>
      <c r="I21" s="149"/>
      <c r="J21" s="149"/>
      <c r="K21" s="149"/>
      <c r="L21" s="149"/>
      <c r="M21" s="149"/>
      <c r="N21" s="149"/>
      <c r="O21" s="149"/>
      <c r="P21" s="149"/>
      <c r="Q21" s="149"/>
      <c r="R21" s="149"/>
      <c r="S21" s="149"/>
      <c r="T21" s="149"/>
      <c r="U21" s="149"/>
      <c r="V21" s="149"/>
      <c r="W21" s="149"/>
      <c r="X21" s="149"/>
      <c r="Y21" s="149"/>
      <c r="Z21" s="149"/>
    </row>
    <row r="22" ht="14.25" customHeight="1">
      <c r="A22" s="149"/>
      <c r="B22" s="162" t="s">
        <v>5066</v>
      </c>
      <c r="C22" s="163">
        <f>COUNTIFS('17043 PEA'!$D$3:$D$8,"S")</f>
        <v>0</v>
      </c>
      <c r="D22" s="149"/>
      <c r="E22" s="168"/>
      <c r="F22" s="149"/>
      <c r="G22" s="149"/>
      <c r="H22" s="149"/>
      <c r="I22" s="149"/>
      <c r="J22" s="149"/>
      <c r="K22" s="149"/>
      <c r="L22" s="149"/>
      <c r="M22" s="149"/>
      <c r="N22" s="149"/>
      <c r="O22" s="149"/>
      <c r="P22" s="149"/>
      <c r="Q22" s="149"/>
      <c r="R22" s="149"/>
      <c r="S22" s="149"/>
      <c r="T22" s="149"/>
      <c r="U22" s="149"/>
      <c r="V22" s="149"/>
      <c r="W22" s="149"/>
      <c r="X22" s="149"/>
      <c r="Y22" s="149"/>
      <c r="Z22" s="149"/>
    </row>
    <row r="23" ht="14.25" customHeight="1">
      <c r="A23" s="149"/>
      <c r="B23" s="164" t="s">
        <v>5067</v>
      </c>
      <c r="C23" s="176">
        <f>COUNTIFS('17043 PEA'!$D$3:$D$8,"A-S")</f>
        <v>0</v>
      </c>
      <c r="D23" s="149"/>
      <c r="E23" s="168"/>
      <c r="F23" s="149"/>
      <c r="G23" s="149"/>
      <c r="H23" s="149"/>
      <c r="I23" s="149"/>
      <c r="J23" s="149"/>
      <c r="K23" s="149"/>
      <c r="L23" s="149"/>
      <c r="M23" s="149"/>
      <c r="N23" s="149"/>
      <c r="O23" s="149"/>
      <c r="P23" s="149"/>
      <c r="Q23" s="149"/>
      <c r="R23" s="149"/>
      <c r="S23" s="149"/>
      <c r="T23" s="149"/>
      <c r="U23" s="149"/>
      <c r="V23" s="149"/>
      <c r="W23" s="149"/>
      <c r="X23" s="149"/>
      <c r="Y23" s="149"/>
      <c r="Z23" s="149"/>
    </row>
    <row r="24" ht="14.25" customHeight="1">
      <c r="A24" s="149"/>
      <c r="B24" s="166" t="s">
        <v>5068</v>
      </c>
      <c r="C24" s="167">
        <f>COUNTIFS('17043 PEA'!D3:D8,"A")+C22+C23</f>
        <v>1</v>
      </c>
      <c r="D24" s="149"/>
      <c r="E24" s="168"/>
      <c r="F24" s="149"/>
      <c r="G24" s="149"/>
      <c r="H24" s="149"/>
      <c r="I24" s="149"/>
      <c r="J24" s="149"/>
      <c r="K24" s="149"/>
      <c r="L24" s="149"/>
      <c r="M24" s="149"/>
      <c r="N24" s="149"/>
      <c r="O24" s="149"/>
      <c r="P24" s="149"/>
      <c r="Q24" s="149"/>
      <c r="R24" s="149"/>
      <c r="S24" s="149"/>
      <c r="T24" s="149"/>
      <c r="U24" s="149"/>
      <c r="V24" s="149"/>
      <c r="W24" s="149"/>
      <c r="X24" s="149"/>
      <c r="Y24" s="149"/>
      <c r="Z24" s="149"/>
    </row>
    <row r="25" ht="14.25" customHeight="1">
      <c r="A25" s="149"/>
      <c r="B25" s="164" t="s">
        <v>5069</v>
      </c>
      <c r="C25" s="176">
        <f>COUNTIFS('17043 PEA'!$D$3:$D$8,"P")</f>
        <v>0</v>
      </c>
      <c r="D25" s="149"/>
      <c r="E25" s="168"/>
      <c r="F25" s="149"/>
      <c r="G25" s="149"/>
      <c r="H25" s="149"/>
      <c r="I25" s="149"/>
      <c r="J25" s="149"/>
      <c r="K25" s="149"/>
      <c r="L25" s="149"/>
      <c r="M25" s="149"/>
      <c r="N25" s="149"/>
      <c r="O25" s="149"/>
      <c r="P25" s="149"/>
      <c r="Q25" s="149"/>
      <c r="R25" s="149"/>
      <c r="S25" s="149"/>
      <c r="T25" s="149"/>
      <c r="U25" s="149"/>
      <c r="V25" s="149"/>
      <c r="W25" s="149"/>
      <c r="X25" s="149"/>
      <c r="Y25" s="149"/>
      <c r="Z25" s="149"/>
    </row>
    <row r="26" ht="14.25" customHeight="1">
      <c r="A26" s="149"/>
      <c r="B26" s="168"/>
      <c r="C26" s="149"/>
      <c r="D26" s="149"/>
      <c r="E26" s="168"/>
      <c r="F26" s="149"/>
      <c r="G26" s="149"/>
      <c r="H26" s="149"/>
      <c r="I26" s="149"/>
      <c r="J26" s="149"/>
      <c r="K26" s="149"/>
      <c r="L26" s="149"/>
      <c r="M26" s="149"/>
      <c r="N26" s="149"/>
      <c r="O26" s="149"/>
      <c r="P26" s="149"/>
      <c r="Q26" s="149"/>
      <c r="R26" s="149"/>
      <c r="S26" s="149"/>
      <c r="T26" s="149"/>
      <c r="U26" s="149"/>
      <c r="V26" s="149"/>
      <c r="W26" s="149"/>
      <c r="X26" s="149"/>
      <c r="Y26" s="149"/>
      <c r="Z26" s="149"/>
    </row>
    <row r="27" ht="14.25" customHeight="1">
      <c r="A27" s="149"/>
      <c r="B27" s="168"/>
      <c r="C27" s="149"/>
      <c r="D27" s="149"/>
      <c r="E27" s="168"/>
      <c r="F27" s="149"/>
      <c r="G27" s="149"/>
      <c r="H27" s="149"/>
      <c r="I27" s="149"/>
      <c r="J27" s="149"/>
      <c r="K27" s="149"/>
      <c r="L27" s="149"/>
      <c r="M27" s="149"/>
      <c r="N27" s="149"/>
      <c r="O27" s="149"/>
      <c r="P27" s="149"/>
      <c r="Q27" s="149"/>
      <c r="R27" s="149"/>
      <c r="S27" s="149"/>
      <c r="T27" s="149"/>
      <c r="U27" s="149"/>
      <c r="V27" s="149"/>
      <c r="W27" s="149"/>
      <c r="X27" s="149"/>
      <c r="Y27" s="149"/>
      <c r="Z27" s="149"/>
    </row>
    <row r="28" ht="15.75" customHeight="1">
      <c r="A28" s="149"/>
      <c r="B28" s="174" t="s">
        <v>5070</v>
      </c>
      <c r="C28" s="175"/>
      <c r="D28" s="149"/>
      <c r="E28" s="168"/>
      <c r="F28" s="149"/>
      <c r="G28" s="149"/>
      <c r="H28" s="149"/>
      <c r="I28" s="149"/>
      <c r="J28" s="149"/>
      <c r="K28" s="149"/>
      <c r="L28" s="149"/>
      <c r="M28" s="149"/>
      <c r="N28" s="149"/>
      <c r="O28" s="149"/>
      <c r="P28" s="149"/>
      <c r="Q28" s="149"/>
      <c r="R28" s="149"/>
      <c r="S28" s="149"/>
      <c r="T28" s="149"/>
      <c r="U28" s="149"/>
      <c r="V28" s="149"/>
      <c r="W28" s="149"/>
      <c r="X28" s="149"/>
      <c r="Y28" s="149"/>
      <c r="Z28" s="149"/>
    </row>
    <row r="29" ht="14.25" customHeight="1">
      <c r="A29" s="149"/>
      <c r="B29" s="162" t="s">
        <v>5071</v>
      </c>
      <c r="C29" s="163">
        <f>COUNTIFS('15189 LM'!$D$3:$D$21,"S")</f>
        <v>0</v>
      </c>
      <c r="D29" s="149"/>
      <c r="E29" s="168"/>
      <c r="F29" s="149"/>
      <c r="G29" s="149"/>
      <c r="H29" s="149"/>
      <c r="I29" s="149"/>
      <c r="J29" s="149"/>
      <c r="K29" s="149"/>
      <c r="L29" s="149"/>
      <c r="M29" s="149"/>
      <c r="N29" s="149"/>
      <c r="O29" s="149"/>
      <c r="P29" s="149"/>
      <c r="Q29" s="149"/>
      <c r="R29" s="149"/>
      <c r="S29" s="149"/>
      <c r="T29" s="149"/>
      <c r="U29" s="149"/>
      <c r="V29" s="149"/>
      <c r="W29" s="149"/>
      <c r="X29" s="149"/>
      <c r="Y29" s="149"/>
      <c r="Z29" s="149"/>
    </row>
    <row r="30" ht="14.25" customHeight="1">
      <c r="A30" s="149"/>
      <c r="B30" s="164" t="s">
        <v>5072</v>
      </c>
      <c r="C30" s="165">
        <f>COUNTIFS('15189 LM'!$D$3:$D$21,"A-S")</f>
        <v>0</v>
      </c>
      <c r="D30" s="149"/>
      <c r="E30" s="168"/>
      <c r="F30" s="149"/>
      <c r="G30" s="149"/>
      <c r="H30" s="149"/>
      <c r="I30" s="149"/>
      <c r="J30" s="149"/>
      <c r="K30" s="149"/>
      <c r="L30" s="149"/>
      <c r="M30" s="149"/>
      <c r="N30" s="149"/>
      <c r="O30" s="149"/>
      <c r="P30" s="149"/>
      <c r="Q30" s="149"/>
      <c r="R30" s="149"/>
      <c r="S30" s="149"/>
      <c r="T30" s="149"/>
      <c r="U30" s="149"/>
      <c r="V30" s="149"/>
      <c r="W30" s="149"/>
      <c r="X30" s="149"/>
      <c r="Y30" s="149"/>
      <c r="Z30" s="149"/>
    </row>
    <row r="31" ht="14.25" customHeight="1">
      <c r="A31" s="149"/>
      <c r="B31" s="166" t="s">
        <v>5073</v>
      </c>
      <c r="C31" s="167">
        <f>COUNTIFS('15189 LM'!$D$3:$D$21,"A")+C29+C30</f>
        <v>7</v>
      </c>
      <c r="D31" s="149"/>
      <c r="E31" s="168"/>
      <c r="F31" s="149"/>
      <c r="G31" s="149"/>
      <c r="H31" s="149"/>
      <c r="I31" s="149"/>
      <c r="J31" s="149"/>
      <c r="K31" s="149"/>
      <c r="L31" s="149"/>
      <c r="M31" s="149"/>
      <c r="N31" s="149"/>
      <c r="O31" s="149"/>
      <c r="P31" s="149"/>
      <c r="Q31" s="149"/>
      <c r="R31" s="149"/>
      <c r="S31" s="149"/>
      <c r="T31" s="149"/>
      <c r="U31" s="149"/>
      <c r="V31" s="149"/>
      <c r="W31" s="149"/>
      <c r="X31" s="149"/>
      <c r="Y31" s="149"/>
      <c r="Z31" s="149"/>
    </row>
    <row r="32" ht="14.25" customHeight="1">
      <c r="A32" s="149"/>
      <c r="B32" s="162" t="s">
        <v>5074</v>
      </c>
      <c r="C32" s="163">
        <f>COUNTIFS('15189 LM'!$D$3:$D$21,"P")</f>
        <v>5</v>
      </c>
      <c r="D32" s="149"/>
      <c r="E32" s="168"/>
      <c r="F32" s="149"/>
      <c r="G32" s="149"/>
      <c r="H32" s="149"/>
      <c r="I32" s="149"/>
      <c r="J32" s="149"/>
      <c r="K32" s="149"/>
      <c r="L32" s="149"/>
      <c r="M32" s="149"/>
      <c r="N32" s="149"/>
      <c r="O32" s="149"/>
      <c r="P32" s="149"/>
      <c r="Q32" s="149"/>
      <c r="R32" s="149"/>
      <c r="S32" s="149"/>
      <c r="T32" s="149"/>
      <c r="U32" s="149"/>
      <c r="V32" s="149"/>
      <c r="W32" s="149"/>
      <c r="X32" s="149"/>
      <c r="Y32" s="149"/>
      <c r="Z32" s="149"/>
    </row>
    <row r="33" ht="14.25" customHeight="1">
      <c r="A33" s="149"/>
      <c r="B33" s="168"/>
      <c r="C33" s="149"/>
      <c r="D33" s="149"/>
      <c r="E33" s="168"/>
      <c r="F33" s="149"/>
      <c r="G33" s="149"/>
      <c r="H33" s="149"/>
      <c r="I33" s="149"/>
      <c r="J33" s="149"/>
      <c r="K33" s="149"/>
      <c r="L33" s="149"/>
      <c r="M33" s="149"/>
      <c r="N33" s="149"/>
      <c r="O33" s="149"/>
      <c r="P33" s="149"/>
      <c r="Q33" s="149"/>
      <c r="R33" s="149"/>
      <c r="S33" s="149"/>
      <c r="T33" s="149"/>
      <c r="U33" s="149"/>
      <c r="V33" s="149"/>
      <c r="W33" s="149"/>
      <c r="X33" s="149"/>
      <c r="Y33" s="149"/>
      <c r="Z33" s="149"/>
    </row>
    <row r="34" ht="15.75" customHeight="1">
      <c r="A34" s="149"/>
      <c r="B34" s="177" t="s">
        <v>5075</v>
      </c>
      <c r="C34" s="161"/>
      <c r="D34" s="149"/>
      <c r="E34" s="168"/>
      <c r="F34" s="149"/>
      <c r="G34" s="149"/>
      <c r="H34" s="149"/>
      <c r="I34" s="149"/>
      <c r="J34" s="149"/>
      <c r="K34" s="149"/>
      <c r="L34" s="149"/>
      <c r="M34" s="149"/>
      <c r="N34" s="149"/>
      <c r="O34" s="149"/>
      <c r="P34" s="149"/>
      <c r="Q34" s="149"/>
      <c r="R34" s="149"/>
      <c r="S34" s="149"/>
      <c r="T34" s="149"/>
      <c r="U34" s="149"/>
      <c r="V34" s="149"/>
      <c r="W34" s="149"/>
      <c r="X34" s="149"/>
      <c r="Y34" s="149"/>
      <c r="Z34" s="149"/>
    </row>
    <row r="35" ht="14.25" customHeight="1">
      <c r="A35" s="149"/>
      <c r="B35" s="178" t="s">
        <v>5076</v>
      </c>
      <c r="C35" s="179">
        <f>COUNTIFS('17024 OCH'!$D$3:$D$15,"A")</f>
        <v>1</v>
      </c>
      <c r="D35" s="149"/>
      <c r="E35" s="168"/>
      <c r="F35" s="149"/>
      <c r="G35" s="149"/>
      <c r="H35" s="149"/>
      <c r="I35" s="149"/>
      <c r="J35" s="149"/>
      <c r="K35" s="149"/>
      <c r="L35" s="149"/>
      <c r="M35" s="149"/>
      <c r="N35" s="149"/>
      <c r="O35" s="149"/>
      <c r="P35" s="149"/>
      <c r="Q35" s="149"/>
      <c r="R35" s="149"/>
      <c r="S35" s="149"/>
      <c r="T35" s="149"/>
      <c r="U35" s="149"/>
      <c r="V35" s="149"/>
      <c r="W35" s="149"/>
      <c r="X35" s="149"/>
      <c r="Y35" s="149"/>
      <c r="Z35" s="149"/>
    </row>
    <row r="36" ht="14.25" customHeight="1">
      <c r="A36" s="149"/>
      <c r="B36" s="180" t="s">
        <v>5077</v>
      </c>
      <c r="C36" s="179">
        <f>COUNTIFS('17065 OCP'!$D$3:$D$30,"A")</f>
        <v>11</v>
      </c>
      <c r="D36" s="149"/>
      <c r="E36" s="168"/>
      <c r="F36" s="149"/>
      <c r="G36" s="149"/>
      <c r="H36" s="149"/>
      <c r="I36" s="149"/>
      <c r="J36" s="149"/>
      <c r="K36" s="149"/>
      <c r="L36" s="149"/>
      <c r="M36" s="149"/>
      <c r="N36" s="149"/>
      <c r="O36" s="149"/>
      <c r="P36" s="149"/>
      <c r="Q36" s="149"/>
      <c r="R36" s="149"/>
      <c r="S36" s="149"/>
      <c r="T36" s="149"/>
      <c r="U36" s="149"/>
      <c r="V36" s="149"/>
      <c r="W36" s="149"/>
      <c r="X36" s="149"/>
      <c r="Y36" s="149"/>
      <c r="Z36" s="149"/>
    </row>
    <row r="37" ht="14.25" customHeight="1">
      <c r="A37" s="149"/>
      <c r="B37" s="178" t="s">
        <v>5078</v>
      </c>
      <c r="C37" s="179">
        <f>COUNTIFS('17021 OCSG'!$D$3:$D$19,"A")</f>
        <v>1</v>
      </c>
      <c r="D37" s="149"/>
      <c r="E37" s="168"/>
      <c r="F37" s="149"/>
      <c r="G37" s="149"/>
      <c r="H37" s="149"/>
      <c r="I37" s="149"/>
      <c r="J37" s="149"/>
      <c r="K37" s="149"/>
      <c r="L37" s="149"/>
      <c r="M37" s="149"/>
      <c r="N37" s="149"/>
      <c r="O37" s="149"/>
      <c r="P37" s="149"/>
      <c r="Q37" s="149"/>
      <c r="R37" s="149"/>
      <c r="S37" s="149"/>
      <c r="T37" s="149"/>
      <c r="U37" s="149"/>
      <c r="V37" s="149"/>
      <c r="W37" s="149"/>
      <c r="X37" s="149"/>
      <c r="Y37" s="149"/>
      <c r="Z37" s="149"/>
    </row>
    <row r="38" ht="14.25" customHeight="1">
      <c r="A38" s="149"/>
      <c r="B38" s="181" t="s">
        <v>5079</v>
      </c>
      <c r="C38" s="182">
        <f>COUNTIFS('17029 SAVV'!$D$3:$D$15,"A")</f>
        <v>3</v>
      </c>
      <c r="D38" s="149"/>
      <c r="E38" s="168"/>
      <c r="F38" s="149"/>
      <c r="G38" s="149"/>
      <c r="H38" s="149"/>
      <c r="I38" s="149"/>
      <c r="J38" s="149"/>
      <c r="K38" s="149"/>
      <c r="L38" s="149"/>
      <c r="M38" s="149"/>
      <c r="N38" s="149"/>
      <c r="O38" s="149"/>
      <c r="P38" s="149"/>
      <c r="Q38" s="149"/>
      <c r="R38" s="149"/>
      <c r="S38" s="149"/>
      <c r="T38" s="149"/>
      <c r="U38" s="149"/>
      <c r="V38" s="149"/>
      <c r="W38" s="149"/>
      <c r="X38" s="149"/>
      <c r="Y38" s="149"/>
      <c r="Z38" s="149"/>
    </row>
    <row r="39" ht="14.25" customHeight="1">
      <c r="A39" s="149"/>
      <c r="B39" s="162" t="s">
        <v>5080</v>
      </c>
      <c r="C39" s="183">
        <f>COUNTIFS('17024 OCH'!D3:D15,"S")</f>
        <v>1</v>
      </c>
      <c r="D39" s="149"/>
      <c r="E39" s="168"/>
      <c r="F39" s="149"/>
      <c r="G39" s="149"/>
      <c r="H39" s="149"/>
      <c r="I39" s="149"/>
      <c r="J39" s="149"/>
      <c r="K39" s="149"/>
      <c r="L39" s="149"/>
      <c r="M39" s="149"/>
      <c r="N39" s="149"/>
      <c r="O39" s="149"/>
      <c r="P39" s="149"/>
      <c r="Q39" s="149"/>
      <c r="R39" s="149"/>
      <c r="S39" s="149"/>
      <c r="T39" s="149"/>
      <c r="U39" s="149"/>
      <c r="V39" s="149"/>
      <c r="W39" s="149"/>
      <c r="X39" s="149"/>
      <c r="Y39" s="149"/>
      <c r="Z39" s="149"/>
    </row>
    <row r="40" ht="14.25" customHeight="1">
      <c r="A40" s="149"/>
      <c r="B40" s="162" t="s">
        <v>5081</v>
      </c>
      <c r="C40" s="183">
        <f>COUNTIFS('17065 OCP'!D3:D30,"S")</f>
        <v>0</v>
      </c>
      <c r="D40" s="149"/>
      <c r="E40" s="168"/>
      <c r="F40" s="149"/>
      <c r="G40" s="149"/>
      <c r="H40" s="149"/>
      <c r="I40" s="149"/>
      <c r="J40" s="149"/>
      <c r="K40" s="149"/>
      <c r="L40" s="149"/>
      <c r="M40" s="149"/>
      <c r="N40" s="149"/>
      <c r="O40" s="149"/>
      <c r="P40" s="149"/>
      <c r="Q40" s="149"/>
      <c r="R40" s="149"/>
      <c r="S40" s="149"/>
      <c r="T40" s="149"/>
      <c r="U40" s="149"/>
      <c r="V40" s="149"/>
      <c r="W40" s="149"/>
      <c r="X40" s="149"/>
      <c r="Y40" s="149"/>
      <c r="Z40" s="149"/>
    </row>
    <row r="41" ht="14.25" customHeight="1">
      <c r="A41" s="149"/>
      <c r="B41" s="162" t="s">
        <v>5082</v>
      </c>
      <c r="C41" s="183">
        <f>COUNTIFS('17021 OCSG'!$D$3:$D$19,"S")</f>
        <v>0</v>
      </c>
      <c r="D41" s="149"/>
      <c r="E41" s="168"/>
      <c r="F41" s="149"/>
      <c r="G41" s="149"/>
      <c r="H41" s="149"/>
      <c r="I41" s="149"/>
      <c r="J41" s="149"/>
      <c r="K41" s="149"/>
      <c r="L41" s="149"/>
      <c r="M41" s="149"/>
      <c r="N41" s="149"/>
      <c r="O41" s="149"/>
      <c r="P41" s="149"/>
      <c r="Q41" s="149"/>
      <c r="R41" s="149"/>
      <c r="S41" s="149"/>
      <c r="T41" s="149"/>
      <c r="U41" s="149"/>
      <c r="V41" s="149"/>
      <c r="W41" s="149"/>
      <c r="X41" s="149"/>
      <c r="Y41" s="149"/>
      <c r="Z41" s="149"/>
    </row>
    <row r="42" ht="14.25" customHeight="1">
      <c r="A42" s="149"/>
      <c r="B42" s="184" t="s">
        <v>5083</v>
      </c>
      <c r="C42" s="185">
        <f>COUNTIFS('17029 SAVV'!$D$3:$D$15,"S")</f>
        <v>1</v>
      </c>
      <c r="D42" s="149"/>
      <c r="E42" s="168"/>
      <c r="F42" s="149"/>
      <c r="G42" s="149"/>
      <c r="H42" s="149"/>
      <c r="I42" s="149"/>
      <c r="J42" s="149"/>
      <c r="K42" s="149"/>
      <c r="L42" s="149"/>
      <c r="M42" s="149"/>
      <c r="N42" s="149"/>
      <c r="O42" s="149"/>
      <c r="P42" s="149"/>
      <c r="Q42" s="149"/>
      <c r="R42" s="149"/>
      <c r="S42" s="149"/>
      <c r="T42" s="149"/>
      <c r="U42" s="149"/>
      <c r="V42" s="149"/>
      <c r="W42" s="149"/>
      <c r="X42" s="149"/>
      <c r="Y42" s="149"/>
      <c r="Z42" s="149"/>
    </row>
    <row r="43" ht="14.25" customHeight="1">
      <c r="A43" s="149"/>
      <c r="B43" s="159" t="s">
        <v>5084</v>
      </c>
      <c r="C43" s="183">
        <f>COUNTIFS('17024 OCH'!D3:D15,"A-S")</f>
        <v>0</v>
      </c>
      <c r="D43" s="149"/>
      <c r="E43" s="168"/>
      <c r="F43" s="149"/>
      <c r="G43" s="149"/>
      <c r="H43" s="149"/>
      <c r="I43" s="149"/>
      <c r="J43" s="149"/>
      <c r="K43" s="149"/>
      <c r="L43" s="149"/>
      <c r="M43" s="149"/>
      <c r="N43" s="149"/>
      <c r="O43" s="149"/>
      <c r="P43" s="149"/>
      <c r="Q43" s="149"/>
      <c r="R43" s="149"/>
      <c r="S43" s="149"/>
      <c r="T43" s="149"/>
      <c r="U43" s="149"/>
      <c r="V43" s="149"/>
      <c r="W43" s="149"/>
      <c r="X43" s="149"/>
      <c r="Y43" s="149"/>
      <c r="Z43" s="149"/>
    </row>
    <row r="44" ht="14.25" customHeight="1">
      <c r="A44" s="149"/>
      <c r="B44" s="186" t="s">
        <v>5085</v>
      </c>
      <c r="C44" s="183">
        <f>COUNTIFS('17065 OCP'!D3:D30,"A-S")</f>
        <v>0</v>
      </c>
      <c r="D44" s="149"/>
      <c r="E44" s="168"/>
      <c r="F44" s="149"/>
      <c r="G44" s="149"/>
      <c r="H44" s="149"/>
      <c r="I44" s="149"/>
      <c r="J44" s="149"/>
      <c r="K44" s="149"/>
      <c r="L44" s="149"/>
      <c r="M44" s="149"/>
      <c r="N44" s="149"/>
      <c r="O44" s="149"/>
      <c r="P44" s="149"/>
      <c r="Q44" s="149"/>
      <c r="R44" s="149"/>
      <c r="S44" s="149"/>
      <c r="T44" s="149"/>
      <c r="U44" s="149"/>
      <c r="V44" s="149"/>
      <c r="W44" s="149"/>
      <c r="X44" s="149"/>
      <c r="Y44" s="149"/>
      <c r="Z44" s="149"/>
    </row>
    <row r="45" ht="14.25" customHeight="1">
      <c r="A45" s="149"/>
      <c r="B45" s="159" t="s">
        <v>5086</v>
      </c>
      <c r="C45" s="183">
        <f>COUNTIFS('17021 OCSG'!$D$3:$D$19,"A-S")</f>
        <v>0</v>
      </c>
      <c r="D45" s="149"/>
      <c r="E45" s="168"/>
      <c r="F45" s="149"/>
      <c r="G45" s="149"/>
      <c r="H45" s="149"/>
      <c r="I45" s="149"/>
      <c r="J45" s="149"/>
      <c r="K45" s="149"/>
      <c r="L45" s="149"/>
      <c r="M45" s="149"/>
      <c r="N45" s="149"/>
      <c r="O45" s="149"/>
      <c r="P45" s="149"/>
      <c r="Q45" s="149"/>
      <c r="R45" s="149"/>
      <c r="S45" s="149"/>
      <c r="T45" s="149"/>
      <c r="U45" s="149"/>
      <c r="V45" s="149"/>
      <c r="W45" s="149"/>
      <c r="X45" s="149"/>
      <c r="Y45" s="149"/>
      <c r="Z45" s="149"/>
    </row>
    <row r="46" ht="14.25" customHeight="1">
      <c r="A46" s="149"/>
      <c r="B46" s="184" t="s">
        <v>5087</v>
      </c>
      <c r="C46" s="185">
        <f>COUNTIFS('17029 SAVV'!$D$3:$D$15,"A-S")</f>
        <v>0</v>
      </c>
      <c r="D46" s="149"/>
      <c r="E46" s="168"/>
      <c r="F46" s="149"/>
      <c r="G46" s="149"/>
      <c r="H46" s="149"/>
      <c r="I46" s="149"/>
      <c r="J46" s="149"/>
      <c r="K46" s="149"/>
      <c r="L46" s="149"/>
      <c r="M46" s="149"/>
      <c r="N46" s="149"/>
      <c r="O46" s="149"/>
      <c r="P46" s="149"/>
      <c r="Q46" s="149"/>
      <c r="R46" s="149"/>
      <c r="S46" s="149"/>
      <c r="T46" s="149"/>
      <c r="U46" s="149"/>
      <c r="V46" s="149"/>
      <c r="W46" s="149"/>
      <c r="X46" s="149"/>
      <c r="Y46" s="149"/>
      <c r="Z46" s="149"/>
    </row>
    <row r="47" ht="14.25" customHeight="1">
      <c r="A47" s="149"/>
      <c r="B47" s="162" t="s">
        <v>5088</v>
      </c>
      <c r="C47" s="183">
        <f>COUNTIFS('17024 OCH'!D3:D15,"P")</f>
        <v>0</v>
      </c>
      <c r="D47" s="149"/>
      <c r="E47" s="168"/>
      <c r="F47" s="149"/>
      <c r="G47" s="149"/>
      <c r="H47" s="149"/>
      <c r="I47" s="149"/>
      <c r="J47" s="149"/>
      <c r="K47" s="149"/>
      <c r="L47" s="149"/>
      <c r="M47" s="149"/>
      <c r="N47" s="149"/>
      <c r="O47" s="149"/>
      <c r="P47" s="149"/>
      <c r="Q47" s="149"/>
      <c r="R47" s="149"/>
      <c r="S47" s="149"/>
      <c r="T47" s="149"/>
      <c r="U47" s="149"/>
      <c r="V47" s="149"/>
      <c r="W47" s="149"/>
      <c r="X47" s="149"/>
      <c r="Y47" s="149"/>
      <c r="Z47" s="149"/>
    </row>
    <row r="48" ht="14.25" customHeight="1">
      <c r="A48" s="149"/>
      <c r="B48" s="162" t="s">
        <v>5089</v>
      </c>
      <c r="C48" s="183">
        <f>COUNTIFS('17065 OCP'!D3:D30,"P")</f>
        <v>4</v>
      </c>
      <c r="D48" s="149"/>
      <c r="E48" s="168"/>
      <c r="F48" s="149"/>
      <c r="G48" s="149"/>
      <c r="H48" s="149"/>
      <c r="I48" s="149"/>
      <c r="J48" s="149"/>
      <c r="K48" s="149"/>
      <c r="L48" s="149"/>
      <c r="M48" s="149"/>
      <c r="N48" s="149"/>
      <c r="O48" s="149"/>
      <c r="P48" s="149"/>
      <c r="Q48" s="149"/>
      <c r="R48" s="149"/>
      <c r="S48" s="149"/>
      <c r="T48" s="149"/>
      <c r="U48" s="149"/>
      <c r="V48" s="149"/>
      <c r="W48" s="149"/>
      <c r="X48" s="149"/>
      <c r="Y48" s="149"/>
      <c r="Z48" s="149"/>
    </row>
    <row r="49" ht="14.25" customHeight="1">
      <c r="A49" s="149"/>
      <c r="B49" s="162" t="s">
        <v>5090</v>
      </c>
      <c r="C49" s="183">
        <f>COUNTIFS('17021 OCSG'!$D$3:$D$19,"P")</f>
        <v>1</v>
      </c>
      <c r="D49" s="149"/>
      <c r="E49" s="168"/>
      <c r="F49" s="149"/>
      <c r="G49" s="149"/>
      <c r="H49" s="149"/>
      <c r="I49" s="149"/>
      <c r="J49" s="149"/>
      <c r="K49" s="149"/>
      <c r="L49" s="149"/>
      <c r="M49" s="149"/>
      <c r="N49" s="149"/>
      <c r="O49" s="149"/>
      <c r="P49" s="149"/>
      <c r="Q49" s="149"/>
      <c r="R49" s="149"/>
      <c r="S49" s="149"/>
      <c r="T49" s="149"/>
      <c r="U49" s="149"/>
      <c r="V49" s="149"/>
      <c r="W49" s="149"/>
      <c r="X49" s="149"/>
      <c r="Y49" s="149"/>
      <c r="Z49" s="149"/>
    </row>
    <row r="50" ht="14.25" customHeight="1">
      <c r="A50" s="149"/>
      <c r="B50" s="184" t="s">
        <v>5091</v>
      </c>
      <c r="C50" s="185">
        <f>COUNTIFS('17029 SAVV'!$D$3:$D$15,"P")</f>
        <v>0</v>
      </c>
      <c r="D50" s="149"/>
      <c r="E50" s="168"/>
      <c r="F50" s="149"/>
      <c r="G50" s="149"/>
      <c r="H50" s="149"/>
      <c r="I50" s="149"/>
      <c r="J50" s="149"/>
      <c r="K50" s="149"/>
      <c r="L50" s="149"/>
      <c r="M50" s="149"/>
      <c r="N50" s="149"/>
      <c r="O50" s="149"/>
      <c r="P50" s="149"/>
      <c r="Q50" s="149"/>
      <c r="R50" s="149"/>
      <c r="S50" s="149"/>
      <c r="T50" s="149"/>
      <c r="U50" s="149"/>
      <c r="V50" s="149"/>
      <c r="W50" s="149"/>
      <c r="X50" s="149"/>
      <c r="Y50" s="149"/>
      <c r="Z50" s="149"/>
    </row>
    <row r="51" ht="14.25" customHeight="1">
      <c r="A51" s="149"/>
      <c r="B51" s="187" t="s">
        <v>5092</v>
      </c>
      <c r="C51" s="188">
        <f>SUM(C35:C37,C39:C41,C43:C45)</f>
        <v>14</v>
      </c>
      <c r="D51" s="149"/>
      <c r="E51" s="168"/>
      <c r="F51" s="149"/>
      <c r="G51" s="149"/>
      <c r="H51" s="149"/>
      <c r="I51" s="149"/>
      <c r="J51" s="149"/>
      <c r="K51" s="149"/>
      <c r="L51" s="149"/>
      <c r="M51" s="149"/>
      <c r="N51" s="149"/>
      <c r="O51" s="149"/>
      <c r="P51" s="149"/>
      <c r="Q51" s="149"/>
      <c r="R51" s="149"/>
      <c r="S51" s="149"/>
      <c r="T51" s="149"/>
      <c r="U51" s="149"/>
      <c r="V51" s="149"/>
      <c r="W51" s="149"/>
      <c r="X51" s="149"/>
      <c r="Y51" s="149"/>
      <c r="Z51" s="149"/>
    </row>
    <row r="52" ht="14.25" customHeight="1">
      <c r="A52" s="149"/>
      <c r="B52" s="187" t="s">
        <v>5093</v>
      </c>
      <c r="C52" s="188">
        <f>C38+C42+C46</f>
        <v>4</v>
      </c>
      <c r="D52" s="149"/>
      <c r="E52" s="168"/>
      <c r="F52" s="149"/>
      <c r="G52" s="149"/>
      <c r="H52" s="149"/>
      <c r="I52" s="149"/>
      <c r="J52" s="149"/>
      <c r="K52" s="149"/>
      <c r="L52" s="149"/>
      <c r="M52" s="149"/>
      <c r="N52" s="149"/>
      <c r="O52" s="149"/>
      <c r="P52" s="149"/>
      <c r="Q52" s="149"/>
      <c r="R52" s="149"/>
      <c r="S52" s="149"/>
      <c r="T52" s="149"/>
      <c r="U52" s="149"/>
      <c r="V52" s="149"/>
      <c r="W52" s="149"/>
      <c r="X52" s="149"/>
      <c r="Y52" s="149"/>
      <c r="Z52" s="149"/>
    </row>
    <row r="53" ht="14.25" customHeight="1">
      <c r="A53" s="149"/>
      <c r="B53" s="168"/>
      <c r="C53" s="149"/>
      <c r="D53" s="149"/>
      <c r="E53" s="168"/>
      <c r="F53" s="149"/>
      <c r="G53" s="149"/>
      <c r="H53" s="149"/>
      <c r="I53" s="149"/>
      <c r="J53" s="149"/>
      <c r="K53" s="149"/>
      <c r="L53" s="149"/>
      <c r="M53" s="149"/>
      <c r="N53" s="149"/>
      <c r="O53" s="149"/>
      <c r="P53" s="149"/>
      <c r="Q53" s="149"/>
      <c r="R53" s="149"/>
      <c r="S53" s="149"/>
      <c r="T53" s="149"/>
      <c r="U53" s="149"/>
      <c r="V53" s="149"/>
      <c r="W53" s="149"/>
      <c r="X53" s="149"/>
      <c r="Y53" s="149"/>
      <c r="Z53" s="149"/>
    </row>
    <row r="54" ht="14.25" customHeight="1">
      <c r="A54" s="149"/>
      <c r="B54" s="168"/>
      <c r="C54" s="149"/>
      <c r="D54" s="149"/>
      <c r="E54" s="168"/>
      <c r="F54" s="149"/>
      <c r="G54" s="149"/>
      <c r="H54" s="149"/>
      <c r="I54" s="149"/>
      <c r="J54" s="149"/>
      <c r="K54" s="149"/>
      <c r="L54" s="149"/>
      <c r="M54" s="149"/>
      <c r="N54" s="149"/>
      <c r="O54" s="149"/>
      <c r="P54" s="149"/>
      <c r="Q54" s="149"/>
      <c r="R54" s="149"/>
      <c r="S54" s="149"/>
      <c r="T54" s="149"/>
      <c r="U54" s="149"/>
      <c r="V54" s="149"/>
      <c r="W54" s="149"/>
      <c r="X54" s="149"/>
      <c r="Y54" s="149"/>
      <c r="Z54" s="149"/>
    </row>
    <row r="55" ht="14.25" customHeight="1">
      <c r="A55" s="149"/>
      <c r="B55" s="168"/>
      <c r="C55" s="149"/>
      <c r="D55" s="149"/>
      <c r="E55" s="168"/>
      <c r="F55" s="149"/>
      <c r="G55" s="149"/>
      <c r="H55" s="149"/>
      <c r="I55" s="149"/>
      <c r="J55" s="149"/>
      <c r="K55" s="149"/>
      <c r="L55" s="149"/>
      <c r="M55" s="149"/>
      <c r="N55" s="149"/>
      <c r="O55" s="149"/>
      <c r="P55" s="149"/>
      <c r="Q55" s="149"/>
      <c r="R55" s="149"/>
      <c r="S55" s="149"/>
      <c r="T55" s="149"/>
      <c r="U55" s="149"/>
      <c r="V55" s="149"/>
      <c r="W55" s="149"/>
      <c r="X55" s="149"/>
      <c r="Y55" s="149"/>
      <c r="Z55" s="149"/>
    </row>
    <row r="56" ht="14.25" customHeight="1">
      <c r="A56" s="149"/>
      <c r="B56" s="168"/>
      <c r="C56" s="149"/>
      <c r="D56" s="149"/>
      <c r="E56" s="168"/>
      <c r="F56" s="149"/>
      <c r="G56" s="149"/>
      <c r="H56" s="149"/>
      <c r="I56" s="149"/>
      <c r="J56" s="149"/>
      <c r="K56" s="149"/>
      <c r="L56" s="149"/>
      <c r="M56" s="149"/>
      <c r="N56" s="149"/>
      <c r="O56" s="149"/>
      <c r="P56" s="149"/>
      <c r="Q56" s="149"/>
      <c r="R56" s="149"/>
      <c r="S56" s="149"/>
      <c r="T56" s="149"/>
      <c r="U56" s="149"/>
      <c r="V56" s="149"/>
      <c r="W56" s="149"/>
      <c r="X56" s="149"/>
      <c r="Y56" s="149"/>
      <c r="Z56" s="149"/>
    </row>
    <row r="57" ht="14.25" customHeight="1">
      <c r="A57" s="149"/>
      <c r="B57" s="168"/>
      <c r="C57" s="149"/>
      <c r="D57" s="149"/>
      <c r="E57" s="168"/>
      <c r="F57" s="149"/>
      <c r="G57" s="149"/>
      <c r="H57" s="149"/>
      <c r="I57" s="149"/>
      <c r="J57" s="149"/>
      <c r="K57" s="149"/>
      <c r="L57" s="149"/>
      <c r="M57" s="149"/>
      <c r="N57" s="149"/>
      <c r="O57" s="149"/>
      <c r="P57" s="149"/>
      <c r="Q57" s="149"/>
      <c r="R57" s="149"/>
      <c r="S57" s="149"/>
      <c r="T57" s="149"/>
      <c r="U57" s="149"/>
      <c r="V57" s="149"/>
      <c r="W57" s="149"/>
      <c r="X57" s="149"/>
      <c r="Y57" s="149"/>
      <c r="Z57" s="149"/>
    </row>
    <row r="58" ht="14.25" customHeight="1">
      <c r="A58" s="149"/>
      <c r="B58" s="168"/>
      <c r="C58" s="149"/>
      <c r="D58" s="149"/>
      <c r="E58" s="168"/>
      <c r="F58" s="149"/>
      <c r="G58" s="149"/>
      <c r="H58" s="149"/>
      <c r="I58" s="149"/>
      <c r="J58" s="149"/>
      <c r="K58" s="149"/>
      <c r="L58" s="149"/>
      <c r="M58" s="149"/>
      <c r="N58" s="149"/>
      <c r="O58" s="149"/>
      <c r="P58" s="149"/>
      <c r="Q58" s="149"/>
      <c r="R58" s="149"/>
      <c r="S58" s="149"/>
      <c r="T58" s="149"/>
      <c r="U58" s="149"/>
      <c r="V58" s="149"/>
      <c r="W58" s="149"/>
      <c r="X58" s="149"/>
      <c r="Y58" s="149"/>
      <c r="Z58" s="149"/>
    </row>
    <row r="59" ht="14.25" customHeight="1">
      <c r="A59" s="149"/>
      <c r="B59" s="168"/>
      <c r="C59" s="149"/>
      <c r="D59" s="149"/>
      <c r="E59" s="168"/>
      <c r="F59" s="149"/>
      <c r="G59" s="149"/>
      <c r="H59" s="149"/>
      <c r="I59" s="149"/>
      <c r="J59" s="149"/>
      <c r="K59" s="149"/>
      <c r="L59" s="149"/>
      <c r="M59" s="149"/>
      <c r="N59" s="149"/>
      <c r="O59" s="149"/>
      <c r="P59" s="149"/>
      <c r="Q59" s="149"/>
      <c r="R59" s="149"/>
      <c r="S59" s="149"/>
      <c r="T59" s="149"/>
      <c r="U59" s="149"/>
      <c r="V59" s="149"/>
      <c r="W59" s="149"/>
      <c r="X59" s="149"/>
      <c r="Y59" s="149"/>
      <c r="Z59" s="149"/>
    </row>
    <row r="60" ht="14.25" customHeight="1">
      <c r="A60" s="149"/>
      <c r="B60" s="168"/>
      <c r="C60" s="149"/>
      <c r="D60" s="149"/>
      <c r="E60" s="168"/>
      <c r="F60" s="149"/>
      <c r="G60" s="149"/>
      <c r="H60" s="149"/>
      <c r="I60" s="149"/>
      <c r="J60" s="149"/>
      <c r="K60" s="149"/>
      <c r="L60" s="149"/>
      <c r="M60" s="149"/>
      <c r="N60" s="149"/>
      <c r="O60" s="149"/>
      <c r="P60" s="149"/>
      <c r="Q60" s="149"/>
      <c r="R60" s="149"/>
      <c r="S60" s="149"/>
      <c r="T60" s="149"/>
      <c r="U60" s="149"/>
      <c r="V60" s="149"/>
      <c r="W60" s="149"/>
      <c r="X60" s="149"/>
      <c r="Y60" s="149"/>
      <c r="Z60" s="149"/>
    </row>
    <row r="61" ht="14.25" customHeight="1">
      <c r="A61" s="149"/>
      <c r="B61" s="168"/>
      <c r="C61" s="149"/>
      <c r="D61" s="149"/>
      <c r="E61" s="168"/>
      <c r="F61" s="149"/>
      <c r="G61" s="149"/>
      <c r="H61" s="149"/>
      <c r="I61" s="149"/>
      <c r="J61" s="149"/>
      <c r="K61" s="149"/>
      <c r="L61" s="149"/>
      <c r="M61" s="149"/>
      <c r="N61" s="149"/>
      <c r="O61" s="149"/>
      <c r="P61" s="149"/>
      <c r="Q61" s="149"/>
      <c r="R61" s="149"/>
      <c r="S61" s="149"/>
      <c r="T61" s="149"/>
      <c r="U61" s="149"/>
      <c r="V61" s="149"/>
      <c r="W61" s="149"/>
      <c r="X61" s="149"/>
      <c r="Y61" s="149"/>
      <c r="Z61" s="149"/>
    </row>
    <row r="62" ht="14.25" customHeight="1">
      <c r="A62" s="149"/>
      <c r="B62" s="168"/>
      <c r="C62" s="149"/>
      <c r="D62" s="149"/>
      <c r="E62" s="168"/>
      <c r="F62" s="149"/>
      <c r="G62" s="149"/>
      <c r="H62" s="149"/>
      <c r="I62" s="149"/>
      <c r="J62" s="149"/>
      <c r="K62" s="149"/>
      <c r="L62" s="149"/>
      <c r="M62" s="149"/>
      <c r="N62" s="149"/>
      <c r="O62" s="149"/>
      <c r="P62" s="149"/>
      <c r="Q62" s="149"/>
      <c r="R62" s="149"/>
      <c r="S62" s="149"/>
      <c r="T62" s="149"/>
      <c r="U62" s="149"/>
      <c r="V62" s="149"/>
      <c r="W62" s="149"/>
      <c r="X62" s="149"/>
      <c r="Y62" s="149"/>
      <c r="Z62" s="149"/>
    </row>
    <row r="63" ht="14.25" customHeight="1">
      <c r="A63" s="149"/>
      <c r="B63" s="168"/>
      <c r="C63" s="149"/>
      <c r="D63" s="149"/>
      <c r="E63" s="168"/>
      <c r="F63" s="149"/>
      <c r="G63" s="149"/>
      <c r="H63" s="149"/>
      <c r="I63" s="149"/>
      <c r="J63" s="149"/>
      <c r="K63" s="149"/>
      <c r="L63" s="149"/>
      <c r="M63" s="149"/>
      <c r="N63" s="149"/>
      <c r="O63" s="149"/>
      <c r="P63" s="149"/>
      <c r="Q63" s="149"/>
      <c r="R63" s="149"/>
      <c r="S63" s="149"/>
      <c r="T63" s="149"/>
      <c r="U63" s="149"/>
      <c r="V63" s="149"/>
      <c r="W63" s="149"/>
      <c r="X63" s="149"/>
      <c r="Y63" s="149"/>
      <c r="Z63" s="149"/>
    </row>
    <row r="64" ht="14.25" customHeight="1">
      <c r="A64" s="149"/>
      <c r="B64" s="168"/>
      <c r="C64" s="149"/>
      <c r="D64" s="149"/>
      <c r="E64" s="168"/>
      <c r="F64" s="149"/>
      <c r="G64" s="149"/>
      <c r="H64" s="149"/>
      <c r="I64" s="149"/>
      <c r="J64" s="149"/>
      <c r="K64" s="149"/>
      <c r="L64" s="149"/>
      <c r="M64" s="149"/>
      <c r="N64" s="149"/>
      <c r="O64" s="149"/>
      <c r="P64" s="149"/>
      <c r="Q64" s="149"/>
      <c r="R64" s="149"/>
      <c r="S64" s="149"/>
      <c r="T64" s="149"/>
      <c r="U64" s="149"/>
      <c r="V64" s="149"/>
      <c r="W64" s="149"/>
      <c r="X64" s="149"/>
      <c r="Y64" s="149"/>
      <c r="Z64" s="149"/>
    </row>
    <row r="65" ht="14.25" customHeight="1">
      <c r="A65" s="149"/>
      <c r="B65" s="168"/>
      <c r="C65" s="149"/>
      <c r="D65" s="149"/>
      <c r="E65" s="168"/>
      <c r="F65" s="149"/>
      <c r="G65" s="149"/>
      <c r="H65" s="149"/>
      <c r="I65" s="149"/>
      <c r="J65" s="149"/>
      <c r="K65" s="149"/>
      <c r="L65" s="149"/>
      <c r="M65" s="149"/>
      <c r="N65" s="149"/>
      <c r="O65" s="149"/>
      <c r="P65" s="149"/>
      <c r="Q65" s="149"/>
      <c r="R65" s="149"/>
      <c r="S65" s="149"/>
      <c r="T65" s="149"/>
      <c r="U65" s="149"/>
      <c r="V65" s="149"/>
      <c r="W65" s="149"/>
      <c r="X65" s="149"/>
      <c r="Y65" s="149"/>
      <c r="Z65" s="149"/>
    </row>
    <row r="66" ht="14.25" customHeight="1">
      <c r="A66" s="149"/>
      <c r="B66" s="168"/>
      <c r="C66" s="149"/>
      <c r="D66" s="149"/>
      <c r="E66" s="168"/>
      <c r="F66" s="149"/>
      <c r="G66" s="149"/>
      <c r="H66" s="149"/>
      <c r="I66" s="149"/>
      <c r="J66" s="149"/>
      <c r="K66" s="149"/>
      <c r="L66" s="149"/>
      <c r="M66" s="149"/>
      <c r="N66" s="149"/>
      <c r="O66" s="149"/>
      <c r="P66" s="149"/>
      <c r="Q66" s="149"/>
      <c r="R66" s="149"/>
      <c r="S66" s="149"/>
      <c r="T66" s="149"/>
      <c r="U66" s="149"/>
      <c r="V66" s="149"/>
      <c r="W66" s="149"/>
      <c r="X66" s="149"/>
      <c r="Y66" s="149"/>
      <c r="Z66" s="149"/>
    </row>
    <row r="67" ht="14.25" customHeight="1">
      <c r="A67" s="149"/>
      <c r="B67" s="168"/>
      <c r="C67" s="149"/>
      <c r="D67" s="149"/>
      <c r="E67" s="168"/>
      <c r="F67" s="149"/>
      <c r="G67" s="149"/>
      <c r="H67" s="149"/>
      <c r="I67" s="149"/>
      <c r="J67" s="149"/>
      <c r="K67" s="149"/>
      <c r="L67" s="149"/>
      <c r="M67" s="149"/>
      <c r="N67" s="149"/>
      <c r="O67" s="149"/>
      <c r="P67" s="149"/>
      <c r="Q67" s="149"/>
      <c r="R67" s="149"/>
      <c r="S67" s="149"/>
      <c r="T67" s="149"/>
      <c r="U67" s="149"/>
      <c r="V67" s="149"/>
      <c r="W67" s="149"/>
      <c r="X67" s="149"/>
      <c r="Y67" s="149"/>
      <c r="Z67" s="149"/>
    </row>
    <row r="68" ht="14.25" customHeight="1">
      <c r="A68" s="149"/>
      <c r="B68" s="168"/>
      <c r="C68" s="149"/>
      <c r="D68" s="149"/>
      <c r="E68" s="168"/>
      <c r="F68" s="149"/>
      <c r="G68" s="149"/>
      <c r="H68" s="149"/>
      <c r="I68" s="149"/>
      <c r="J68" s="149"/>
      <c r="K68" s="149"/>
      <c r="L68" s="149"/>
      <c r="M68" s="149"/>
      <c r="N68" s="149"/>
      <c r="O68" s="149"/>
      <c r="P68" s="149"/>
      <c r="Q68" s="149"/>
      <c r="R68" s="149"/>
      <c r="S68" s="149"/>
      <c r="T68" s="149"/>
      <c r="U68" s="149"/>
      <c r="V68" s="149"/>
      <c r="W68" s="149"/>
      <c r="X68" s="149"/>
      <c r="Y68" s="149"/>
      <c r="Z68" s="149"/>
    </row>
    <row r="69" ht="14.25" customHeight="1">
      <c r="A69" s="149"/>
      <c r="B69" s="168"/>
      <c r="C69" s="149"/>
      <c r="D69" s="149"/>
      <c r="E69" s="168"/>
      <c r="F69" s="149"/>
      <c r="G69" s="149"/>
      <c r="H69" s="149"/>
      <c r="I69" s="149"/>
      <c r="J69" s="149"/>
      <c r="K69" s="149"/>
      <c r="L69" s="149"/>
      <c r="M69" s="149"/>
      <c r="N69" s="149"/>
      <c r="O69" s="149"/>
      <c r="P69" s="149"/>
      <c r="Q69" s="149"/>
      <c r="R69" s="149"/>
      <c r="S69" s="149"/>
      <c r="T69" s="149"/>
      <c r="U69" s="149"/>
      <c r="V69" s="149"/>
      <c r="W69" s="149"/>
      <c r="X69" s="149"/>
      <c r="Y69" s="149"/>
      <c r="Z69" s="149"/>
    </row>
    <row r="70" ht="14.25" customHeight="1">
      <c r="A70" s="149"/>
      <c r="B70" s="168"/>
      <c r="C70" s="149"/>
      <c r="D70" s="149"/>
      <c r="E70" s="168"/>
      <c r="F70" s="149"/>
      <c r="G70" s="149"/>
      <c r="H70" s="149"/>
      <c r="I70" s="149"/>
      <c r="J70" s="149"/>
      <c r="K70" s="149"/>
      <c r="L70" s="149"/>
      <c r="M70" s="149"/>
      <c r="N70" s="149"/>
      <c r="O70" s="149"/>
      <c r="P70" s="149"/>
      <c r="Q70" s="149"/>
      <c r="R70" s="149"/>
      <c r="S70" s="149"/>
      <c r="T70" s="149"/>
      <c r="U70" s="149"/>
      <c r="V70" s="149"/>
      <c r="W70" s="149"/>
      <c r="X70" s="149"/>
      <c r="Y70" s="149"/>
      <c r="Z70" s="149"/>
    </row>
    <row r="71" ht="14.25" customHeight="1">
      <c r="A71" s="149"/>
      <c r="B71" s="168"/>
      <c r="C71" s="149"/>
      <c r="D71" s="149"/>
      <c r="E71" s="168"/>
      <c r="F71" s="149"/>
      <c r="G71" s="149"/>
      <c r="H71" s="149"/>
      <c r="I71" s="149"/>
      <c r="J71" s="149"/>
      <c r="K71" s="149"/>
      <c r="L71" s="149"/>
      <c r="M71" s="149"/>
      <c r="N71" s="149"/>
      <c r="O71" s="149"/>
      <c r="P71" s="149"/>
      <c r="Q71" s="149"/>
      <c r="R71" s="149"/>
      <c r="S71" s="149"/>
      <c r="T71" s="149"/>
      <c r="U71" s="149"/>
      <c r="V71" s="149"/>
      <c r="W71" s="149"/>
      <c r="X71" s="149"/>
      <c r="Y71" s="149"/>
      <c r="Z71" s="149"/>
    </row>
    <row r="72" ht="14.25" customHeight="1">
      <c r="A72" s="149"/>
      <c r="B72" s="168"/>
      <c r="C72" s="149"/>
      <c r="D72" s="149"/>
      <c r="E72" s="168"/>
      <c r="F72" s="149"/>
      <c r="G72" s="149"/>
      <c r="H72" s="149"/>
      <c r="I72" s="149"/>
      <c r="J72" s="149"/>
      <c r="K72" s="149"/>
      <c r="L72" s="149"/>
      <c r="M72" s="149"/>
      <c r="N72" s="149"/>
      <c r="O72" s="149"/>
      <c r="P72" s="149"/>
      <c r="Q72" s="149"/>
      <c r="R72" s="149"/>
      <c r="S72" s="149"/>
      <c r="T72" s="149"/>
      <c r="U72" s="149"/>
      <c r="V72" s="149"/>
      <c r="W72" s="149"/>
      <c r="X72" s="149"/>
      <c r="Y72" s="149"/>
      <c r="Z72" s="149"/>
    </row>
    <row r="73" ht="14.25" customHeight="1">
      <c r="A73" s="149"/>
      <c r="B73" s="168"/>
      <c r="C73" s="149"/>
      <c r="D73" s="149"/>
      <c r="E73" s="168"/>
      <c r="F73" s="149"/>
      <c r="G73" s="149"/>
      <c r="H73" s="149"/>
      <c r="I73" s="149"/>
      <c r="J73" s="149"/>
      <c r="K73" s="149"/>
      <c r="L73" s="149"/>
      <c r="M73" s="149"/>
      <c r="N73" s="149"/>
      <c r="O73" s="149"/>
      <c r="P73" s="149"/>
      <c r="Q73" s="149"/>
      <c r="R73" s="149"/>
      <c r="S73" s="149"/>
      <c r="T73" s="149"/>
      <c r="U73" s="149"/>
      <c r="V73" s="149"/>
      <c r="W73" s="149"/>
      <c r="X73" s="149"/>
      <c r="Y73" s="149"/>
      <c r="Z73" s="149"/>
    </row>
    <row r="74" ht="14.25" customHeight="1">
      <c r="A74" s="149"/>
      <c r="B74" s="168"/>
      <c r="C74" s="149"/>
      <c r="D74" s="149"/>
      <c r="E74" s="168"/>
      <c r="F74" s="149"/>
      <c r="G74" s="149"/>
      <c r="H74" s="149"/>
      <c r="I74" s="149"/>
      <c r="J74" s="149"/>
      <c r="K74" s="149"/>
      <c r="L74" s="149"/>
      <c r="M74" s="149"/>
      <c r="N74" s="149"/>
      <c r="O74" s="149"/>
      <c r="P74" s="149"/>
      <c r="Q74" s="149"/>
      <c r="R74" s="149"/>
      <c r="S74" s="149"/>
      <c r="T74" s="149"/>
      <c r="U74" s="149"/>
      <c r="V74" s="149"/>
      <c r="W74" s="149"/>
      <c r="X74" s="149"/>
      <c r="Y74" s="149"/>
      <c r="Z74" s="149"/>
    </row>
    <row r="75" ht="14.25" customHeight="1">
      <c r="A75" s="149"/>
      <c r="B75" s="168"/>
      <c r="C75" s="149"/>
      <c r="D75" s="149"/>
      <c r="E75" s="168"/>
      <c r="F75" s="149"/>
      <c r="G75" s="149"/>
      <c r="H75" s="149"/>
      <c r="I75" s="149"/>
      <c r="J75" s="149"/>
      <c r="K75" s="149"/>
      <c r="L75" s="149"/>
      <c r="M75" s="149"/>
      <c r="N75" s="149"/>
      <c r="O75" s="149"/>
      <c r="P75" s="149"/>
      <c r="Q75" s="149"/>
      <c r="R75" s="149"/>
      <c r="S75" s="149"/>
      <c r="T75" s="149"/>
      <c r="U75" s="149"/>
      <c r="V75" s="149"/>
      <c r="W75" s="149"/>
      <c r="X75" s="149"/>
      <c r="Y75" s="149"/>
      <c r="Z75" s="149"/>
    </row>
    <row r="76" ht="14.25" customHeight="1">
      <c r="A76" s="149"/>
      <c r="B76" s="168"/>
      <c r="C76" s="149"/>
      <c r="D76" s="149"/>
      <c r="E76" s="168"/>
      <c r="F76" s="149"/>
      <c r="G76" s="149"/>
      <c r="H76" s="149"/>
      <c r="I76" s="149"/>
      <c r="J76" s="149"/>
      <c r="K76" s="149"/>
      <c r="L76" s="149"/>
      <c r="M76" s="149"/>
      <c r="N76" s="149"/>
      <c r="O76" s="149"/>
      <c r="P76" s="149"/>
      <c r="Q76" s="149"/>
      <c r="R76" s="149"/>
      <c r="S76" s="149"/>
      <c r="T76" s="149"/>
      <c r="U76" s="149"/>
      <c r="V76" s="149"/>
      <c r="W76" s="149"/>
      <c r="X76" s="149"/>
      <c r="Y76" s="149"/>
      <c r="Z76" s="149"/>
    </row>
    <row r="77" ht="14.25" customHeight="1">
      <c r="A77" s="149"/>
      <c r="B77" s="168"/>
      <c r="C77" s="149"/>
      <c r="D77" s="149"/>
      <c r="E77" s="168"/>
      <c r="F77" s="149"/>
      <c r="G77" s="149"/>
      <c r="H77" s="149"/>
      <c r="I77" s="149"/>
      <c r="J77" s="149"/>
      <c r="K77" s="149"/>
      <c r="L77" s="149"/>
      <c r="M77" s="149"/>
      <c r="N77" s="149"/>
      <c r="O77" s="149"/>
      <c r="P77" s="149"/>
      <c r="Q77" s="149"/>
      <c r="R77" s="149"/>
      <c r="S77" s="149"/>
      <c r="T77" s="149"/>
      <c r="U77" s="149"/>
      <c r="V77" s="149"/>
      <c r="W77" s="149"/>
      <c r="X77" s="149"/>
      <c r="Y77" s="149"/>
      <c r="Z77" s="149"/>
    </row>
    <row r="78" ht="14.25" customHeight="1">
      <c r="A78" s="149"/>
      <c r="B78" s="168"/>
      <c r="C78" s="149"/>
      <c r="D78" s="149"/>
      <c r="E78" s="168"/>
      <c r="F78" s="149"/>
      <c r="G78" s="149"/>
      <c r="H78" s="149"/>
      <c r="I78" s="149"/>
      <c r="J78" s="149"/>
      <c r="K78" s="149"/>
      <c r="L78" s="149"/>
      <c r="M78" s="149"/>
      <c r="N78" s="149"/>
      <c r="O78" s="149"/>
      <c r="P78" s="149"/>
      <c r="Q78" s="149"/>
      <c r="R78" s="149"/>
      <c r="S78" s="149"/>
      <c r="T78" s="149"/>
      <c r="U78" s="149"/>
      <c r="V78" s="149"/>
      <c r="W78" s="149"/>
      <c r="X78" s="149"/>
      <c r="Y78" s="149"/>
      <c r="Z78" s="149"/>
    </row>
    <row r="79" ht="14.25" customHeight="1">
      <c r="A79" s="149"/>
      <c r="B79" s="168"/>
      <c r="C79" s="149"/>
      <c r="D79" s="149"/>
      <c r="E79" s="168"/>
      <c r="F79" s="149"/>
      <c r="G79" s="149"/>
      <c r="H79" s="149"/>
      <c r="I79" s="149"/>
      <c r="J79" s="149"/>
      <c r="K79" s="149"/>
      <c r="L79" s="149"/>
      <c r="M79" s="149"/>
      <c r="N79" s="149"/>
      <c r="O79" s="149"/>
      <c r="P79" s="149"/>
      <c r="Q79" s="149"/>
      <c r="R79" s="149"/>
      <c r="S79" s="149"/>
      <c r="T79" s="149"/>
      <c r="U79" s="149"/>
      <c r="V79" s="149"/>
      <c r="W79" s="149"/>
      <c r="X79" s="149"/>
      <c r="Y79" s="149"/>
      <c r="Z79" s="149"/>
    </row>
    <row r="80" ht="14.25" customHeight="1">
      <c r="A80" s="149"/>
      <c r="B80" s="168"/>
      <c r="C80" s="149"/>
      <c r="D80" s="149"/>
      <c r="E80" s="168"/>
      <c r="F80" s="149"/>
      <c r="G80" s="149"/>
      <c r="H80" s="149"/>
      <c r="I80" s="149"/>
      <c r="J80" s="149"/>
      <c r="K80" s="149"/>
      <c r="L80" s="149"/>
      <c r="M80" s="149"/>
      <c r="N80" s="149"/>
      <c r="O80" s="149"/>
      <c r="P80" s="149"/>
      <c r="Q80" s="149"/>
      <c r="R80" s="149"/>
      <c r="S80" s="149"/>
      <c r="T80" s="149"/>
      <c r="U80" s="149"/>
      <c r="V80" s="149"/>
      <c r="W80" s="149"/>
      <c r="X80" s="149"/>
      <c r="Y80" s="149"/>
      <c r="Z80" s="149"/>
    </row>
    <row r="81" ht="14.25" customHeight="1">
      <c r="A81" s="149"/>
      <c r="B81" s="168"/>
      <c r="C81" s="149"/>
      <c r="D81" s="149"/>
      <c r="E81" s="168"/>
      <c r="F81" s="149"/>
      <c r="G81" s="149"/>
      <c r="H81" s="149"/>
      <c r="I81" s="149"/>
      <c r="J81" s="149"/>
      <c r="K81" s="149"/>
      <c r="L81" s="149"/>
      <c r="M81" s="149"/>
      <c r="N81" s="149"/>
      <c r="O81" s="149"/>
      <c r="P81" s="149"/>
      <c r="Q81" s="149"/>
      <c r="R81" s="149"/>
      <c r="S81" s="149"/>
      <c r="T81" s="149"/>
      <c r="U81" s="149"/>
      <c r="V81" s="149"/>
      <c r="W81" s="149"/>
      <c r="X81" s="149"/>
      <c r="Y81" s="149"/>
      <c r="Z81" s="149"/>
    </row>
    <row r="82" ht="14.25" customHeight="1">
      <c r="A82" s="149"/>
      <c r="B82" s="168"/>
      <c r="C82" s="149"/>
      <c r="D82" s="149"/>
      <c r="E82" s="168"/>
      <c r="F82" s="149"/>
      <c r="G82" s="149"/>
      <c r="H82" s="149"/>
      <c r="I82" s="149"/>
      <c r="J82" s="149"/>
      <c r="K82" s="149"/>
      <c r="L82" s="149"/>
      <c r="M82" s="149"/>
      <c r="N82" s="149"/>
      <c r="O82" s="149"/>
      <c r="P82" s="149"/>
      <c r="Q82" s="149"/>
      <c r="R82" s="149"/>
      <c r="S82" s="149"/>
      <c r="T82" s="149"/>
      <c r="U82" s="149"/>
      <c r="V82" s="149"/>
      <c r="W82" s="149"/>
      <c r="X82" s="149"/>
      <c r="Y82" s="149"/>
      <c r="Z82" s="149"/>
    </row>
    <row r="83" ht="14.25" customHeight="1">
      <c r="A83" s="149"/>
      <c r="B83" s="168"/>
      <c r="C83" s="149"/>
      <c r="D83" s="149"/>
      <c r="E83" s="168"/>
      <c r="F83" s="149"/>
      <c r="G83" s="149"/>
      <c r="H83" s="149"/>
      <c r="I83" s="149"/>
      <c r="J83" s="149"/>
      <c r="K83" s="149"/>
      <c r="L83" s="149"/>
      <c r="M83" s="149"/>
      <c r="N83" s="149"/>
      <c r="O83" s="149"/>
      <c r="P83" s="149"/>
      <c r="Q83" s="149"/>
      <c r="R83" s="149"/>
      <c r="S83" s="149"/>
      <c r="T83" s="149"/>
      <c r="U83" s="149"/>
      <c r="V83" s="149"/>
      <c r="W83" s="149"/>
      <c r="X83" s="149"/>
      <c r="Y83" s="149"/>
      <c r="Z83" s="149"/>
    </row>
    <row r="84" ht="14.25" customHeight="1">
      <c r="A84" s="149"/>
      <c r="B84" s="168"/>
      <c r="C84" s="149"/>
      <c r="D84" s="149"/>
      <c r="E84" s="168"/>
      <c r="F84" s="149"/>
      <c r="G84" s="149"/>
      <c r="H84" s="149"/>
      <c r="I84" s="149"/>
      <c r="J84" s="149"/>
      <c r="K84" s="149"/>
      <c r="L84" s="149"/>
      <c r="M84" s="149"/>
      <c r="N84" s="149"/>
      <c r="O84" s="149"/>
      <c r="P84" s="149"/>
      <c r="Q84" s="149"/>
      <c r="R84" s="149"/>
      <c r="S84" s="149"/>
      <c r="T84" s="149"/>
      <c r="U84" s="149"/>
      <c r="V84" s="149"/>
      <c r="W84" s="149"/>
      <c r="X84" s="149"/>
      <c r="Y84" s="149"/>
      <c r="Z84" s="149"/>
    </row>
    <row r="85" ht="14.25" customHeight="1">
      <c r="A85" s="149"/>
      <c r="B85" s="168"/>
      <c r="C85" s="149"/>
      <c r="D85" s="149"/>
      <c r="E85" s="168"/>
      <c r="F85" s="149"/>
      <c r="G85" s="149"/>
      <c r="H85" s="149"/>
      <c r="I85" s="149"/>
      <c r="J85" s="149"/>
      <c r="K85" s="149"/>
      <c r="L85" s="149"/>
      <c r="M85" s="149"/>
      <c r="N85" s="149"/>
      <c r="O85" s="149"/>
      <c r="P85" s="149"/>
      <c r="Q85" s="149"/>
      <c r="R85" s="149"/>
      <c r="S85" s="149"/>
      <c r="T85" s="149"/>
      <c r="U85" s="149"/>
      <c r="V85" s="149"/>
      <c r="W85" s="149"/>
      <c r="X85" s="149"/>
      <c r="Y85" s="149"/>
      <c r="Z85" s="149"/>
    </row>
    <row r="86" ht="14.25" customHeight="1">
      <c r="A86" s="149"/>
      <c r="B86" s="168"/>
      <c r="C86" s="149"/>
      <c r="D86" s="149"/>
      <c r="E86" s="168"/>
      <c r="F86" s="149"/>
      <c r="G86" s="149"/>
      <c r="H86" s="149"/>
      <c r="I86" s="149"/>
      <c r="J86" s="149"/>
      <c r="K86" s="149"/>
      <c r="L86" s="149"/>
      <c r="M86" s="149"/>
      <c r="N86" s="149"/>
      <c r="O86" s="149"/>
      <c r="P86" s="149"/>
      <c r="Q86" s="149"/>
      <c r="R86" s="149"/>
      <c r="S86" s="149"/>
      <c r="T86" s="149"/>
      <c r="U86" s="149"/>
      <c r="V86" s="149"/>
      <c r="W86" s="149"/>
      <c r="X86" s="149"/>
      <c r="Y86" s="149"/>
      <c r="Z86" s="149"/>
    </row>
    <row r="87" ht="14.25" customHeight="1">
      <c r="A87" s="149"/>
      <c r="B87" s="168"/>
      <c r="C87" s="149"/>
      <c r="D87" s="149"/>
      <c r="E87" s="168"/>
      <c r="F87" s="149"/>
      <c r="G87" s="149"/>
      <c r="H87" s="149"/>
      <c r="I87" s="149"/>
      <c r="J87" s="149"/>
      <c r="K87" s="149"/>
      <c r="L87" s="149"/>
      <c r="M87" s="149"/>
      <c r="N87" s="149"/>
      <c r="O87" s="149"/>
      <c r="P87" s="149"/>
      <c r="Q87" s="149"/>
      <c r="R87" s="149"/>
      <c r="S87" s="149"/>
      <c r="T87" s="149"/>
      <c r="U87" s="149"/>
      <c r="V87" s="149"/>
      <c r="W87" s="149"/>
      <c r="X87" s="149"/>
      <c r="Y87" s="149"/>
      <c r="Z87" s="149"/>
    </row>
    <row r="88" ht="14.25" customHeight="1">
      <c r="A88" s="149"/>
      <c r="B88" s="168"/>
      <c r="C88" s="149"/>
      <c r="D88" s="149"/>
      <c r="E88" s="168"/>
      <c r="F88" s="149"/>
      <c r="G88" s="149"/>
      <c r="H88" s="149"/>
      <c r="I88" s="149"/>
      <c r="J88" s="149"/>
      <c r="K88" s="149"/>
      <c r="L88" s="149"/>
      <c r="M88" s="149"/>
      <c r="N88" s="149"/>
      <c r="O88" s="149"/>
      <c r="P88" s="149"/>
      <c r="Q88" s="149"/>
      <c r="R88" s="149"/>
      <c r="S88" s="149"/>
      <c r="T88" s="149"/>
      <c r="U88" s="149"/>
      <c r="V88" s="149"/>
      <c r="W88" s="149"/>
      <c r="X88" s="149"/>
      <c r="Y88" s="149"/>
      <c r="Z88" s="149"/>
    </row>
    <row r="89" ht="14.25" customHeight="1">
      <c r="A89" s="149"/>
      <c r="B89" s="168"/>
      <c r="C89" s="149"/>
      <c r="D89" s="149"/>
      <c r="E89" s="168"/>
      <c r="F89" s="149"/>
      <c r="G89" s="149"/>
      <c r="H89" s="149"/>
      <c r="I89" s="149"/>
      <c r="J89" s="149"/>
      <c r="K89" s="149"/>
      <c r="L89" s="149"/>
      <c r="M89" s="149"/>
      <c r="N89" s="149"/>
      <c r="O89" s="149"/>
      <c r="P89" s="149"/>
      <c r="Q89" s="149"/>
      <c r="R89" s="149"/>
      <c r="S89" s="149"/>
      <c r="T89" s="149"/>
      <c r="U89" s="149"/>
      <c r="V89" s="149"/>
      <c r="W89" s="149"/>
      <c r="X89" s="149"/>
      <c r="Y89" s="149"/>
      <c r="Z89" s="149"/>
    </row>
    <row r="90" ht="14.25" customHeight="1">
      <c r="A90" s="149"/>
      <c r="B90" s="168"/>
      <c r="C90" s="149"/>
      <c r="D90" s="149"/>
      <c r="E90" s="168"/>
      <c r="F90" s="149"/>
      <c r="G90" s="149"/>
      <c r="H90" s="149"/>
      <c r="I90" s="149"/>
      <c r="J90" s="149"/>
      <c r="K90" s="149"/>
      <c r="L90" s="149"/>
      <c r="M90" s="149"/>
      <c r="N90" s="149"/>
      <c r="O90" s="149"/>
      <c r="P90" s="149"/>
      <c r="Q90" s="149"/>
      <c r="R90" s="149"/>
      <c r="S90" s="149"/>
      <c r="T90" s="149"/>
      <c r="U90" s="149"/>
      <c r="V90" s="149"/>
      <c r="W90" s="149"/>
      <c r="X90" s="149"/>
      <c r="Y90" s="149"/>
      <c r="Z90" s="149"/>
    </row>
    <row r="91" ht="14.25" customHeight="1">
      <c r="A91" s="149"/>
      <c r="B91" s="168"/>
      <c r="C91" s="149"/>
      <c r="D91" s="149"/>
      <c r="E91" s="168"/>
      <c r="F91" s="149"/>
      <c r="G91" s="149"/>
      <c r="H91" s="149"/>
      <c r="I91" s="149"/>
      <c r="J91" s="149"/>
      <c r="K91" s="149"/>
      <c r="L91" s="149"/>
      <c r="M91" s="149"/>
      <c r="N91" s="149"/>
      <c r="O91" s="149"/>
      <c r="P91" s="149"/>
      <c r="Q91" s="149"/>
      <c r="R91" s="149"/>
      <c r="S91" s="149"/>
      <c r="T91" s="149"/>
      <c r="U91" s="149"/>
      <c r="V91" s="149"/>
      <c r="W91" s="149"/>
      <c r="X91" s="149"/>
      <c r="Y91" s="149"/>
      <c r="Z91" s="149"/>
    </row>
    <row r="92" ht="14.25" customHeight="1">
      <c r="A92" s="149"/>
      <c r="B92" s="168"/>
      <c r="C92" s="149"/>
      <c r="D92" s="149"/>
      <c r="E92" s="168"/>
      <c r="F92" s="149"/>
      <c r="G92" s="149"/>
      <c r="H92" s="149"/>
      <c r="I92" s="149"/>
      <c r="J92" s="149"/>
      <c r="K92" s="149"/>
      <c r="L92" s="149"/>
      <c r="M92" s="149"/>
      <c r="N92" s="149"/>
      <c r="O92" s="149"/>
      <c r="P92" s="149"/>
      <c r="Q92" s="149"/>
      <c r="R92" s="149"/>
      <c r="S92" s="149"/>
      <c r="T92" s="149"/>
      <c r="U92" s="149"/>
      <c r="V92" s="149"/>
      <c r="W92" s="149"/>
      <c r="X92" s="149"/>
      <c r="Y92" s="149"/>
      <c r="Z92" s="149"/>
    </row>
    <row r="93" ht="14.25" customHeight="1">
      <c r="A93" s="149"/>
      <c r="B93" s="168"/>
      <c r="C93" s="149"/>
      <c r="D93" s="149"/>
      <c r="E93" s="168"/>
      <c r="F93" s="149"/>
      <c r="G93" s="149"/>
      <c r="H93" s="149"/>
      <c r="I93" s="149"/>
      <c r="J93" s="149"/>
      <c r="K93" s="149"/>
      <c r="L93" s="149"/>
      <c r="M93" s="149"/>
      <c r="N93" s="149"/>
      <c r="O93" s="149"/>
      <c r="P93" s="149"/>
      <c r="Q93" s="149"/>
      <c r="R93" s="149"/>
      <c r="S93" s="149"/>
      <c r="T93" s="149"/>
      <c r="U93" s="149"/>
      <c r="V93" s="149"/>
      <c r="W93" s="149"/>
      <c r="X93" s="149"/>
      <c r="Y93" s="149"/>
      <c r="Z93" s="149"/>
    </row>
    <row r="94" ht="14.25" customHeight="1">
      <c r="A94" s="149"/>
      <c r="B94" s="168"/>
      <c r="C94" s="149"/>
      <c r="D94" s="149"/>
      <c r="E94" s="168"/>
      <c r="F94" s="149"/>
      <c r="G94" s="149"/>
      <c r="H94" s="149"/>
      <c r="I94" s="149"/>
      <c r="J94" s="149"/>
      <c r="K94" s="149"/>
      <c r="L94" s="149"/>
      <c r="M94" s="149"/>
      <c r="N94" s="149"/>
      <c r="O94" s="149"/>
      <c r="P94" s="149"/>
      <c r="Q94" s="149"/>
      <c r="R94" s="149"/>
      <c r="S94" s="149"/>
      <c r="T94" s="149"/>
      <c r="U94" s="149"/>
      <c r="V94" s="149"/>
      <c r="W94" s="149"/>
      <c r="X94" s="149"/>
      <c r="Y94" s="149"/>
      <c r="Z94" s="149"/>
    </row>
    <row r="95" ht="14.25" customHeight="1">
      <c r="A95" s="149"/>
      <c r="B95" s="168"/>
      <c r="C95" s="149"/>
      <c r="D95" s="149"/>
      <c r="E95" s="168"/>
      <c r="F95" s="149"/>
      <c r="G95" s="149"/>
      <c r="H95" s="149"/>
      <c r="I95" s="149"/>
      <c r="J95" s="149"/>
      <c r="K95" s="149"/>
      <c r="L95" s="149"/>
      <c r="M95" s="149"/>
      <c r="N95" s="149"/>
      <c r="O95" s="149"/>
      <c r="P95" s="149"/>
      <c r="Q95" s="149"/>
      <c r="R95" s="149"/>
      <c r="S95" s="149"/>
      <c r="T95" s="149"/>
      <c r="U95" s="149"/>
      <c r="V95" s="149"/>
      <c r="W95" s="149"/>
      <c r="X95" s="149"/>
      <c r="Y95" s="149"/>
      <c r="Z95" s="149"/>
    </row>
    <row r="96" ht="14.25" customHeight="1">
      <c r="A96" s="149"/>
      <c r="B96" s="168"/>
      <c r="C96" s="149"/>
      <c r="D96" s="149"/>
      <c r="E96" s="168"/>
      <c r="F96" s="149"/>
      <c r="G96" s="149"/>
      <c r="H96" s="149"/>
      <c r="I96" s="149"/>
      <c r="J96" s="149"/>
      <c r="K96" s="149"/>
      <c r="L96" s="149"/>
      <c r="M96" s="149"/>
      <c r="N96" s="149"/>
      <c r="O96" s="149"/>
      <c r="P96" s="149"/>
      <c r="Q96" s="149"/>
      <c r="R96" s="149"/>
      <c r="S96" s="149"/>
      <c r="T96" s="149"/>
      <c r="U96" s="149"/>
      <c r="V96" s="149"/>
      <c r="W96" s="149"/>
      <c r="X96" s="149"/>
      <c r="Y96" s="149"/>
      <c r="Z96" s="149"/>
    </row>
    <row r="97" ht="14.25" customHeight="1">
      <c r="A97" s="149"/>
      <c r="B97" s="168"/>
      <c r="C97" s="149"/>
      <c r="D97" s="149"/>
      <c r="E97" s="168"/>
      <c r="F97" s="149"/>
      <c r="G97" s="149"/>
      <c r="H97" s="149"/>
      <c r="I97" s="149"/>
      <c r="J97" s="149"/>
      <c r="K97" s="149"/>
      <c r="L97" s="149"/>
      <c r="M97" s="149"/>
      <c r="N97" s="149"/>
      <c r="O97" s="149"/>
      <c r="P97" s="149"/>
      <c r="Q97" s="149"/>
      <c r="R97" s="149"/>
      <c r="S97" s="149"/>
      <c r="T97" s="149"/>
      <c r="U97" s="149"/>
      <c r="V97" s="149"/>
      <c r="W97" s="149"/>
      <c r="X97" s="149"/>
      <c r="Y97" s="149"/>
      <c r="Z97" s="149"/>
    </row>
    <row r="98" ht="14.25" customHeight="1">
      <c r="A98" s="149"/>
      <c r="B98" s="168"/>
      <c r="C98" s="149"/>
      <c r="D98" s="149"/>
      <c r="E98" s="168"/>
      <c r="F98" s="149"/>
      <c r="G98" s="149"/>
      <c r="H98" s="149"/>
      <c r="I98" s="149"/>
      <c r="J98" s="149"/>
      <c r="K98" s="149"/>
      <c r="L98" s="149"/>
      <c r="M98" s="149"/>
      <c r="N98" s="149"/>
      <c r="O98" s="149"/>
      <c r="P98" s="149"/>
      <c r="Q98" s="149"/>
      <c r="R98" s="149"/>
      <c r="S98" s="149"/>
      <c r="T98" s="149"/>
      <c r="U98" s="149"/>
      <c r="V98" s="149"/>
      <c r="W98" s="149"/>
      <c r="X98" s="149"/>
      <c r="Y98" s="149"/>
      <c r="Z98" s="149"/>
    </row>
    <row r="99" ht="14.25" customHeight="1">
      <c r="A99" s="149"/>
      <c r="B99" s="168"/>
      <c r="C99" s="149"/>
      <c r="D99" s="149"/>
      <c r="E99" s="168"/>
      <c r="F99" s="149"/>
      <c r="G99" s="149"/>
      <c r="H99" s="149"/>
      <c r="I99" s="149"/>
      <c r="J99" s="149"/>
      <c r="K99" s="149"/>
      <c r="L99" s="149"/>
      <c r="M99" s="149"/>
      <c r="N99" s="149"/>
      <c r="O99" s="149"/>
      <c r="P99" s="149"/>
      <c r="Q99" s="149"/>
      <c r="R99" s="149"/>
      <c r="S99" s="149"/>
      <c r="T99" s="149"/>
      <c r="U99" s="149"/>
      <c r="V99" s="149"/>
      <c r="W99" s="149"/>
      <c r="X99" s="149"/>
      <c r="Y99" s="149"/>
      <c r="Z99" s="149"/>
    </row>
    <row r="100" ht="14.25" customHeight="1">
      <c r="A100" s="149"/>
      <c r="B100" s="168"/>
      <c r="C100" s="149"/>
      <c r="D100" s="149"/>
      <c r="E100" s="168"/>
      <c r="F100" s="149"/>
      <c r="G100" s="149"/>
      <c r="H100" s="149"/>
      <c r="I100" s="149"/>
      <c r="J100" s="149"/>
      <c r="K100" s="149"/>
      <c r="L100" s="149"/>
      <c r="M100" s="149"/>
      <c r="N100" s="149"/>
      <c r="O100" s="149"/>
      <c r="P100" s="149"/>
      <c r="Q100" s="149"/>
      <c r="R100" s="149"/>
      <c r="S100" s="149"/>
      <c r="T100" s="149"/>
      <c r="U100" s="149"/>
      <c r="V100" s="149"/>
      <c r="W100" s="149"/>
      <c r="X100" s="149"/>
      <c r="Y100" s="149"/>
      <c r="Z100" s="149"/>
    </row>
    <row r="101" ht="14.25" customHeight="1">
      <c r="A101" s="149"/>
      <c r="B101" s="168"/>
      <c r="C101" s="149"/>
      <c r="D101" s="149"/>
      <c r="E101" s="168"/>
      <c r="F101" s="149"/>
      <c r="G101" s="149"/>
      <c r="H101" s="149"/>
      <c r="I101" s="149"/>
      <c r="J101" s="149"/>
      <c r="K101" s="149"/>
      <c r="L101" s="149"/>
      <c r="M101" s="149"/>
      <c r="N101" s="149"/>
      <c r="O101" s="149"/>
      <c r="P101" s="149"/>
      <c r="Q101" s="149"/>
      <c r="R101" s="149"/>
      <c r="S101" s="149"/>
      <c r="T101" s="149"/>
      <c r="U101" s="149"/>
      <c r="V101" s="149"/>
      <c r="W101" s="149"/>
      <c r="X101" s="149"/>
      <c r="Y101" s="149"/>
      <c r="Z101" s="149"/>
    </row>
    <row r="102" ht="14.25" customHeight="1">
      <c r="A102" s="149"/>
      <c r="B102" s="168"/>
      <c r="C102" s="149"/>
      <c r="D102" s="149"/>
      <c r="E102" s="168"/>
      <c r="F102" s="149"/>
      <c r="G102" s="149"/>
      <c r="H102" s="149"/>
      <c r="I102" s="149"/>
      <c r="J102" s="149"/>
      <c r="K102" s="149"/>
      <c r="L102" s="149"/>
      <c r="M102" s="149"/>
      <c r="N102" s="149"/>
      <c r="O102" s="149"/>
      <c r="P102" s="149"/>
      <c r="Q102" s="149"/>
      <c r="R102" s="149"/>
      <c r="S102" s="149"/>
      <c r="T102" s="149"/>
      <c r="U102" s="149"/>
      <c r="V102" s="149"/>
      <c r="W102" s="149"/>
      <c r="X102" s="149"/>
      <c r="Y102" s="149"/>
      <c r="Z102" s="149"/>
    </row>
    <row r="103" ht="14.25" customHeight="1">
      <c r="A103" s="149"/>
      <c r="B103" s="168"/>
      <c r="C103" s="149"/>
      <c r="D103" s="149"/>
      <c r="E103" s="168"/>
      <c r="F103" s="149"/>
      <c r="G103" s="149"/>
      <c r="H103" s="149"/>
      <c r="I103" s="149"/>
      <c r="J103" s="149"/>
      <c r="K103" s="149"/>
      <c r="L103" s="149"/>
      <c r="M103" s="149"/>
      <c r="N103" s="149"/>
      <c r="O103" s="149"/>
      <c r="P103" s="149"/>
      <c r="Q103" s="149"/>
      <c r="R103" s="149"/>
      <c r="S103" s="149"/>
      <c r="T103" s="149"/>
      <c r="U103" s="149"/>
      <c r="V103" s="149"/>
      <c r="W103" s="149"/>
      <c r="X103" s="149"/>
      <c r="Y103" s="149"/>
      <c r="Z103" s="149"/>
    </row>
    <row r="104" ht="14.25" customHeight="1">
      <c r="A104" s="149"/>
      <c r="B104" s="168"/>
      <c r="C104" s="149"/>
      <c r="D104" s="149"/>
      <c r="E104" s="168"/>
      <c r="F104" s="149"/>
      <c r="G104" s="149"/>
      <c r="H104" s="149"/>
      <c r="I104" s="149"/>
      <c r="J104" s="149"/>
      <c r="K104" s="149"/>
      <c r="L104" s="149"/>
      <c r="M104" s="149"/>
      <c r="N104" s="149"/>
      <c r="O104" s="149"/>
      <c r="P104" s="149"/>
      <c r="Q104" s="149"/>
      <c r="R104" s="149"/>
      <c r="S104" s="149"/>
      <c r="T104" s="149"/>
      <c r="U104" s="149"/>
      <c r="V104" s="149"/>
      <c r="W104" s="149"/>
      <c r="X104" s="149"/>
      <c r="Y104" s="149"/>
      <c r="Z104" s="149"/>
    </row>
    <row r="105" ht="14.25" customHeight="1">
      <c r="A105" s="149"/>
      <c r="B105" s="168"/>
      <c r="C105" s="149"/>
      <c r="D105" s="149"/>
      <c r="E105" s="168"/>
      <c r="F105" s="149"/>
      <c r="G105" s="149"/>
      <c r="H105" s="149"/>
      <c r="I105" s="149"/>
      <c r="J105" s="149"/>
      <c r="K105" s="149"/>
      <c r="L105" s="149"/>
      <c r="M105" s="149"/>
      <c r="N105" s="149"/>
      <c r="O105" s="149"/>
      <c r="P105" s="149"/>
      <c r="Q105" s="149"/>
      <c r="R105" s="149"/>
      <c r="S105" s="149"/>
      <c r="T105" s="149"/>
      <c r="U105" s="149"/>
      <c r="V105" s="149"/>
      <c r="W105" s="149"/>
      <c r="X105" s="149"/>
      <c r="Y105" s="149"/>
      <c r="Z105" s="149"/>
    </row>
    <row r="106" ht="14.25" customHeight="1">
      <c r="A106" s="149"/>
      <c r="B106" s="168"/>
      <c r="C106" s="149"/>
      <c r="D106" s="149"/>
      <c r="E106" s="168"/>
      <c r="F106" s="149"/>
      <c r="G106" s="149"/>
      <c r="H106" s="149"/>
      <c r="I106" s="149"/>
      <c r="J106" s="149"/>
      <c r="K106" s="149"/>
      <c r="L106" s="149"/>
      <c r="M106" s="149"/>
      <c r="N106" s="149"/>
      <c r="O106" s="149"/>
      <c r="P106" s="149"/>
      <c r="Q106" s="149"/>
      <c r="R106" s="149"/>
      <c r="S106" s="149"/>
      <c r="T106" s="149"/>
      <c r="U106" s="149"/>
      <c r="V106" s="149"/>
      <c r="W106" s="149"/>
      <c r="X106" s="149"/>
      <c r="Y106" s="149"/>
      <c r="Z106" s="149"/>
    </row>
    <row r="107" ht="14.25" customHeight="1">
      <c r="A107" s="149"/>
      <c r="B107" s="168"/>
      <c r="C107" s="149"/>
      <c r="D107" s="149"/>
      <c r="E107" s="168"/>
      <c r="F107" s="149"/>
      <c r="G107" s="149"/>
      <c r="H107" s="149"/>
      <c r="I107" s="149"/>
      <c r="J107" s="149"/>
      <c r="K107" s="149"/>
      <c r="L107" s="149"/>
      <c r="M107" s="149"/>
      <c r="N107" s="149"/>
      <c r="O107" s="149"/>
      <c r="P107" s="149"/>
      <c r="Q107" s="149"/>
      <c r="R107" s="149"/>
      <c r="S107" s="149"/>
      <c r="T107" s="149"/>
      <c r="U107" s="149"/>
      <c r="V107" s="149"/>
      <c r="W107" s="149"/>
      <c r="X107" s="149"/>
      <c r="Y107" s="149"/>
      <c r="Z107" s="149"/>
    </row>
    <row r="108" ht="14.25" customHeight="1">
      <c r="A108" s="149"/>
      <c r="B108" s="168"/>
      <c r="C108" s="149"/>
      <c r="D108" s="149"/>
      <c r="E108" s="168"/>
      <c r="F108" s="149"/>
      <c r="G108" s="149"/>
      <c r="H108" s="149"/>
      <c r="I108" s="149"/>
      <c r="J108" s="149"/>
      <c r="K108" s="149"/>
      <c r="L108" s="149"/>
      <c r="M108" s="149"/>
      <c r="N108" s="149"/>
      <c r="O108" s="149"/>
      <c r="P108" s="149"/>
      <c r="Q108" s="149"/>
      <c r="R108" s="149"/>
      <c r="S108" s="149"/>
      <c r="T108" s="149"/>
      <c r="U108" s="149"/>
      <c r="V108" s="149"/>
      <c r="W108" s="149"/>
      <c r="X108" s="149"/>
      <c r="Y108" s="149"/>
      <c r="Z108" s="149"/>
    </row>
    <row r="109" ht="14.25" customHeight="1">
      <c r="A109" s="149"/>
      <c r="B109" s="168"/>
      <c r="C109" s="149"/>
      <c r="D109" s="149"/>
      <c r="E109" s="168"/>
      <c r="F109" s="149"/>
      <c r="G109" s="149"/>
      <c r="H109" s="149"/>
      <c r="I109" s="149"/>
      <c r="J109" s="149"/>
      <c r="K109" s="149"/>
      <c r="L109" s="149"/>
      <c r="M109" s="149"/>
      <c r="N109" s="149"/>
      <c r="O109" s="149"/>
      <c r="P109" s="149"/>
      <c r="Q109" s="149"/>
      <c r="R109" s="149"/>
      <c r="S109" s="149"/>
      <c r="T109" s="149"/>
      <c r="U109" s="149"/>
      <c r="V109" s="149"/>
      <c r="W109" s="149"/>
      <c r="X109" s="149"/>
      <c r="Y109" s="149"/>
      <c r="Z109" s="149"/>
    </row>
    <row r="110" ht="14.25" customHeight="1">
      <c r="A110" s="149"/>
      <c r="B110" s="168"/>
      <c r="C110" s="149"/>
      <c r="D110" s="149"/>
      <c r="E110" s="168"/>
      <c r="F110" s="149"/>
      <c r="G110" s="149"/>
      <c r="H110" s="149"/>
      <c r="I110" s="149"/>
      <c r="J110" s="149"/>
      <c r="K110" s="149"/>
      <c r="L110" s="149"/>
      <c r="M110" s="149"/>
      <c r="N110" s="149"/>
      <c r="O110" s="149"/>
      <c r="P110" s="149"/>
      <c r="Q110" s="149"/>
      <c r="R110" s="149"/>
      <c r="S110" s="149"/>
      <c r="T110" s="149"/>
      <c r="U110" s="149"/>
      <c r="V110" s="149"/>
      <c r="W110" s="149"/>
      <c r="X110" s="149"/>
      <c r="Y110" s="149"/>
      <c r="Z110" s="149"/>
    </row>
    <row r="111" ht="14.25" customHeight="1">
      <c r="A111" s="149"/>
      <c r="B111" s="168"/>
      <c r="C111" s="149"/>
      <c r="D111" s="149"/>
      <c r="E111" s="168"/>
      <c r="F111" s="149"/>
      <c r="G111" s="149"/>
      <c r="H111" s="149"/>
      <c r="I111" s="149"/>
      <c r="J111" s="149"/>
      <c r="K111" s="149"/>
      <c r="L111" s="149"/>
      <c r="M111" s="149"/>
      <c r="N111" s="149"/>
      <c r="O111" s="149"/>
      <c r="P111" s="149"/>
      <c r="Q111" s="149"/>
      <c r="R111" s="149"/>
      <c r="S111" s="149"/>
      <c r="T111" s="149"/>
      <c r="U111" s="149"/>
      <c r="V111" s="149"/>
      <c r="W111" s="149"/>
      <c r="X111" s="149"/>
      <c r="Y111" s="149"/>
      <c r="Z111" s="149"/>
    </row>
    <row r="112" ht="14.25" customHeight="1">
      <c r="A112" s="149"/>
      <c r="B112" s="168"/>
      <c r="C112" s="149"/>
      <c r="D112" s="149"/>
      <c r="E112" s="168"/>
      <c r="F112" s="149"/>
      <c r="G112" s="149"/>
      <c r="H112" s="149"/>
      <c r="I112" s="149"/>
      <c r="J112" s="149"/>
      <c r="K112" s="149"/>
      <c r="L112" s="149"/>
      <c r="M112" s="149"/>
      <c r="N112" s="149"/>
      <c r="O112" s="149"/>
      <c r="P112" s="149"/>
      <c r="Q112" s="149"/>
      <c r="R112" s="149"/>
      <c r="S112" s="149"/>
      <c r="T112" s="149"/>
      <c r="U112" s="149"/>
      <c r="V112" s="149"/>
      <c r="W112" s="149"/>
      <c r="X112" s="149"/>
      <c r="Y112" s="149"/>
      <c r="Z112" s="149"/>
    </row>
    <row r="113" ht="14.25" customHeight="1">
      <c r="A113" s="149"/>
      <c r="B113" s="168"/>
      <c r="C113" s="149"/>
      <c r="D113" s="149"/>
      <c r="E113" s="168"/>
      <c r="F113" s="149"/>
      <c r="G113" s="149"/>
      <c r="H113" s="149"/>
      <c r="I113" s="149"/>
      <c r="J113" s="149"/>
      <c r="K113" s="149"/>
      <c r="L113" s="149"/>
      <c r="M113" s="149"/>
      <c r="N113" s="149"/>
      <c r="O113" s="149"/>
      <c r="P113" s="149"/>
      <c r="Q113" s="149"/>
      <c r="R113" s="149"/>
      <c r="S113" s="149"/>
      <c r="T113" s="149"/>
      <c r="U113" s="149"/>
      <c r="V113" s="149"/>
      <c r="W113" s="149"/>
      <c r="X113" s="149"/>
      <c r="Y113" s="149"/>
      <c r="Z113" s="149"/>
    </row>
    <row r="114" ht="14.25" customHeight="1">
      <c r="A114" s="149"/>
      <c r="B114" s="168"/>
      <c r="C114" s="149"/>
      <c r="D114" s="149"/>
      <c r="E114" s="168"/>
      <c r="F114" s="149"/>
      <c r="G114" s="149"/>
      <c r="H114" s="149"/>
      <c r="I114" s="149"/>
      <c r="J114" s="149"/>
      <c r="K114" s="149"/>
      <c r="L114" s="149"/>
      <c r="M114" s="149"/>
      <c r="N114" s="149"/>
      <c r="O114" s="149"/>
      <c r="P114" s="149"/>
      <c r="Q114" s="149"/>
      <c r="R114" s="149"/>
      <c r="S114" s="149"/>
      <c r="T114" s="149"/>
      <c r="U114" s="149"/>
      <c r="V114" s="149"/>
      <c r="W114" s="149"/>
      <c r="X114" s="149"/>
      <c r="Y114" s="149"/>
      <c r="Z114" s="149"/>
    </row>
    <row r="115" ht="14.25" customHeight="1">
      <c r="A115" s="149"/>
      <c r="B115" s="168"/>
      <c r="C115" s="149"/>
      <c r="D115" s="149"/>
      <c r="E115" s="168"/>
      <c r="F115" s="149"/>
      <c r="G115" s="149"/>
      <c r="H115" s="149"/>
      <c r="I115" s="149"/>
      <c r="J115" s="149"/>
      <c r="K115" s="149"/>
      <c r="L115" s="149"/>
      <c r="M115" s="149"/>
      <c r="N115" s="149"/>
      <c r="O115" s="149"/>
      <c r="P115" s="149"/>
      <c r="Q115" s="149"/>
      <c r="R115" s="149"/>
      <c r="S115" s="149"/>
      <c r="T115" s="149"/>
      <c r="U115" s="149"/>
      <c r="V115" s="149"/>
      <c r="W115" s="149"/>
      <c r="X115" s="149"/>
      <c r="Y115" s="149"/>
      <c r="Z115" s="149"/>
    </row>
    <row r="116" ht="14.25" customHeight="1">
      <c r="A116" s="149"/>
      <c r="B116" s="168"/>
      <c r="C116" s="149"/>
      <c r="D116" s="149"/>
      <c r="E116" s="168"/>
      <c r="F116" s="149"/>
      <c r="G116" s="149"/>
      <c r="H116" s="149"/>
      <c r="I116" s="149"/>
      <c r="J116" s="149"/>
      <c r="K116" s="149"/>
      <c r="L116" s="149"/>
      <c r="M116" s="149"/>
      <c r="N116" s="149"/>
      <c r="O116" s="149"/>
      <c r="P116" s="149"/>
      <c r="Q116" s="149"/>
      <c r="R116" s="149"/>
      <c r="S116" s="149"/>
      <c r="T116" s="149"/>
      <c r="U116" s="149"/>
      <c r="V116" s="149"/>
      <c r="W116" s="149"/>
      <c r="X116" s="149"/>
      <c r="Y116" s="149"/>
      <c r="Z116" s="149"/>
    </row>
    <row r="117" ht="14.25" customHeight="1">
      <c r="A117" s="149"/>
      <c r="B117" s="168"/>
      <c r="C117" s="149"/>
      <c r="D117" s="149"/>
      <c r="E117" s="168"/>
      <c r="F117" s="149"/>
      <c r="G117" s="149"/>
      <c r="H117" s="149"/>
      <c r="I117" s="149"/>
      <c r="J117" s="149"/>
      <c r="K117" s="149"/>
      <c r="L117" s="149"/>
      <c r="M117" s="149"/>
      <c r="N117" s="149"/>
      <c r="O117" s="149"/>
      <c r="P117" s="149"/>
      <c r="Q117" s="149"/>
      <c r="R117" s="149"/>
      <c r="S117" s="149"/>
      <c r="T117" s="149"/>
      <c r="U117" s="149"/>
      <c r="V117" s="149"/>
      <c r="W117" s="149"/>
      <c r="X117" s="149"/>
      <c r="Y117" s="149"/>
      <c r="Z117" s="149"/>
    </row>
    <row r="118" ht="14.25" customHeight="1">
      <c r="A118" s="149"/>
      <c r="B118" s="168"/>
      <c r="C118" s="149"/>
      <c r="D118" s="149"/>
      <c r="E118" s="168"/>
      <c r="F118" s="149"/>
      <c r="G118" s="149"/>
      <c r="H118" s="149"/>
      <c r="I118" s="149"/>
      <c r="J118" s="149"/>
      <c r="K118" s="149"/>
      <c r="L118" s="149"/>
      <c r="M118" s="149"/>
      <c r="N118" s="149"/>
      <c r="O118" s="149"/>
      <c r="P118" s="149"/>
      <c r="Q118" s="149"/>
      <c r="R118" s="149"/>
      <c r="S118" s="149"/>
      <c r="T118" s="149"/>
      <c r="U118" s="149"/>
      <c r="V118" s="149"/>
      <c r="W118" s="149"/>
      <c r="X118" s="149"/>
      <c r="Y118" s="149"/>
      <c r="Z118" s="149"/>
    </row>
    <row r="119" ht="14.25" customHeight="1">
      <c r="A119" s="149"/>
      <c r="B119" s="168"/>
      <c r="C119" s="149"/>
      <c r="D119" s="149"/>
      <c r="E119" s="168"/>
      <c r="F119" s="149"/>
      <c r="G119" s="149"/>
      <c r="H119" s="149"/>
      <c r="I119" s="149"/>
      <c r="J119" s="149"/>
      <c r="K119" s="149"/>
      <c r="L119" s="149"/>
      <c r="M119" s="149"/>
      <c r="N119" s="149"/>
      <c r="O119" s="149"/>
      <c r="P119" s="149"/>
      <c r="Q119" s="149"/>
      <c r="R119" s="149"/>
      <c r="S119" s="149"/>
      <c r="T119" s="149"/>
      <c r="U119" s="149"/>
      <c r="V119" s="149"/>
      <c r="W119" s="149"/>
      <c r="X119" s="149"/>
      <c r="Y119" s="149"/>
      <c r="Z119" s="149"/>
    </row>
    <row r="120" ht="14.25" customHeight="1">
      <c r="A120" s="149"/>
      <c r="B120" s="168"/>
      <c r="C120" s="149"/>
      <c r="D120" s="149"/>
      <c r="E120" s="168"/>
      <c r="F120" s="149"/>
      <c r="G120" s="149"/>
      <c r="H120" s="149"/>
      <c r="I120" s="149"/>
      <c r="J120" s="149"/>
      <c r="K120" s="149"/>
      <c r="L120" s="149"/>
      <c r="M120" s="149"/>
      <c r="N120" s="149"/>
      <c r="O120" s="149"/>
      <c r="P120" s="149"/>
      <c r="Q120" s="149"/>
      <c r="R120" s="149"/>
      <c r="S120" s="149"/>
      <c r="T120" s="149"/>
      <c r="U120" s="149"/>
      <c r="V120" s="149"/>
      <c r="W120" s="149"/>
      <c r="X120" s="149"/>
      <c r="Y120" s="149"/>
      <c r="Z120" s="149"/>
    </row>
    <row r="121" ht="14.25" customHeight="1">
      <c r="A121" s="149"/>
      <c r="B121" s="168"/>
      <c r="C121" s="149"/>
      <c r="D121" s="149"/>
      <c r="E121" s="168"/>
      <c r="F121" s="149"/>
      <c r="G121" s="149"/>
      <c r="H121" s="149"/>
      <c r="I121" s="149"/>
      <c r="J121" s="149"/>
      <c r="K121" s="149"/>
      <c r="L121" s="149"/>
      <c r="M121" s="149"/>
      <c r="N121" s="149"/>
      <c r="O121" s="149"/>
      <c r="P121" s="149"/>
      <c r="Q121" s="149"/>
      <c r="R121" s="149"/>
      <c r="S121" s="149"/>
      <c r="T121" s="149"/>
      <c r="U121" s="149"/>
      <c r="V121" s="149"/>
      <c r="W121" s="149"/>
      <c r="X121" s="149"/>
      <c r="Y121" s="149"/>
      <c r="Z121" s="149"/>
    </row>
    <row r="122" ht="14.25" customHeight="1">
      <c r="A122" s="149"/>
      <c r="B122" s="168"/>
      <c r="C122" s="149"/>
      <c r="D122" s="149"/>
      <c r="E122" s="168"/>
      <c r="F122" s="149"/>
      <c r="G122" s="149"/>
      <c r="H122" s="149"/>
      <c r="I122" s="149"/>
      <c r="J122" s="149"/>
      <c r="K122" s="149"/>
      <c r="L122" s="149"/>
      <c r="M122" s="149"/>
      <c r="N122" s="149"/>
      <c r="O122" s="149"/>
      <c r="P122" s="149"/>
      <c r="Q122" s="149"/>
      <c r="R122" s="149"/>
      <c r="S122" s="149"/>
      <c r="T122" s="149"/>
      <c r="U122" s="149"/>
      <c r="V122" s="149"/>
      <c r="W122" s="149"/>
      <c r="X122" s="149"/>
      <c r="Y122" s="149"/>
      <c r="Z122" s="149"/>
    </row>
    <row r="123" ht="14.25" customHeight="1">
      <c r="A123" s="149"/>
      <c r="B123" s="168"/>
      <c r="C123" s="149"/>
      <c r="D123" s="149"/>
      <c r="E123" s="168"/>
      <c r="F123" s="149"/>
      <c r="G123" s="149"/>
      <c r="H123" s="149"/>
      <c r="I123" s="149"/>
      <c r="J123" s="149"/>
      <c r="K123" s="149"/>
      <c r="L123" s="149"/>
      <c r="M123" s="149"/>
      <c r="N123" s="149"/>
      <c r="O123" s="149"/>
      <c r="P123" s="149"/>
      <c r="Q123" s="149"/>
      <c r="R123" s="149"/>
      <c r="S123" s="149"/>
      <c r="T123" s="149"/>
      <c r="U123" s="149"/>
      <c r="V123" s="149"/>
      <c r="W123" s="149"/>
      <c r="X123" s="149"/>
      <c r="Y123" s="149"/>
      <c r="Z123" s="149"/>
    </row>
    <row r="124" ht="14.25" customHeight="1">
      <c r="A124" s="149"/>
      <c r="B124" s="168"/>
      <c r="C124" s="149"/>
      <c r="D124" s="149"/>
      <c r="E124" s="168"/>
      <c r="F124" s="149"/>
      <c r="G124" s="149"/>
      <c r="H124" s="149"/>
      <c r="I124" s="149"/>
      <c r="J124" s="149"/>
      <c r="K124" s="149"/>
      <c r="L124" s="149"/>
      <c r="M124" s="149"/>
      <c r="N124" s="149"/>
      <c r="O124" s="149"/>
      <c r="P124" s="149"/>
      <c r="Q124" s="149"/>
      <c r="R124" s="149"/>
      <c r="S124" s="149"/>
      <c r="T124" s="149"/>
      <c r="U124" s="149"/>
      <c r="V124" s="149"/>
      <c r="W124" s="149"/>
      <c r="X124" s="149"/>
      <c r="Y124" s="149"/>
      <c r="Z124" s="149"/>
    </row>
    <row r="125" ht="14.25" customHeight="1">
      <c r="A125" s="149"/>
      <c r="B125" s="168"/>
      <c r="C125" s="149"/>
      <c r="D125" s="149"/>
      <c r="E125" s="168"/>
      <c r="F125" s="149"/>
      <c r="G125" s="149"/>
      <c r="H125" s="149"/>
      <c r="I125" s="149"/>
      <c r="J125" s="149"/>
      <c r="K125" s="149"/>
      <c r="L125" s="149"/>
      <c r="M125" s="149"/>
      <c r="N125" s="149"/>
      <c r="O125" s="149"/>
      <c r="P125" s="149"/>
      <c r="Q125" s="149"/>
      <c r="R125" s="149"/>
      <c r="S125" s="149"/>
      <c r="T125" s="149"/>
      <c r="U125" s="149"/>
      <c r="V125" s="149"/>
      <c r="W125" s="149"/>
      <c r="X125" s="149"/>
      <c r="Y125" s="149"/>
      <c r="Z125" s="149"/>
    </row>
    <row r="126" ht="14.25" customHeight="1">
      <c r="A126" s="149"/>
      <c r="B126" s="168"/>
      <c r="C126" s="149"/>
      <c r="D126" s="149"/>
      <c r="E126" s="168"/>
      <c r="F126" s="149"/>
      <c r="G126" s="149"/>
      <c r="H126" s="149"/>
      <c r="I126" s="149"/>
      <c r="J126" s="149"/>
      <c r="K126" s="149"/>
      <c r="L126" s="149"/>
      <c r="M126" s="149"/>
      <c r="N126" s="149"/>
      <c r="O126" s="149"/>
      <c r="P126" s="149"/>
      <c r="Q126" s="149"/>
      <c r="R126" s="149"/>
      <c r="S126" s="149"/>
      <c r="T126" s="149"/>
      <c r="U126" s="149"/>
      <c r="V126" s="149"/>
      <c r="W126" s="149"/>
      <c r="X126" s="149"/>
      <c r="Y126" s="149"/>
      <c r="Z126" s="149"/>
    </row>
    <row r="127" ht="14.25" customHeight="1">
      <c r="A127" s="149"/>
      <c r="B127" s="168"/>
      <c r="C127" s="149"/>
      <c r="D127" s="149"/>
      <c r="E127" s="168"/>
      <c r="F127" s="149"/>
      <c r="G127" s="149"/>
      <c r="H127" s="149"/>
      <c r="I127" s="149"/>
      <c r="J127" s="149"/>
      <c r="K127" s="149"/>
      <c r="L127" s="149"/>
      <c r="M127" s="149"/>
      <c r="N127" s="149"/>
      <c r="O127" s="149"/>
      <c r="P127" s="149"/>
      <c r="Q127" s="149"/>
      <c r="R127" s="149"/>
      <c r="S127" s="149"/>
      <c r="T127" s="149"/>
      <c r="U127" s="149"/>
      <c r="V127" s="149"/>
      <c r="W127" s="149"/>
      <c r="X127" s="149"/>
      <c r="Y127" s="149"/>
      <c r="Z127" s="149"/>
    </row>
    <row r="128" ht="14.25" customHeight="1">
      <c r="A128" s="149"/>
      <c r="B128" s="168"/>
      <c r="C128" s="149"/>
      <c r="D128" s="149"/>
      <c r="E128" s="168"/>
      <c r="F128" s="149"/>
      <c r="G128" s="149"/>
      <c r="H128" s="149"/>
      <c r="I128" s="149"/>
      <c r="J128" s="149"/>
      <c r="K128" s="149"/>
      <c r="L128" s="149"/>
      <c r="M128" s="149"/>
      <c r="N128" s="149"/>
      <c r="O128" s="149"/>
      <c r="P128" s="149"/>
      <c r="Q128" s="149"/>
      <c r="R128" s="149"/>
      <c r="S128" s="149"/>
      <c r="T128" s="149"/>
      <c r="U128" s="149"/>
      <c r="V128" s="149"/>
      <c r="W128" s="149"/>
      <c r="X128" s="149"/>
      <c r="Y128" s="149"/>
      <c r="Z128" s="149"/>
    </row>
    <row r="129" ht="14.25" customHeight="1">
      <c r="A129" s="149"/>
      <c r="B129" s="168"/>
      <c r="C129" s="149"/>
      <c r="D129" s="149"/>
      <c r="E129" s="168"/>
      <c r="F129" s="149"/>
      <c r="G129" s="149"/>
      <c r="H129" s="149"/>
      <c r="I129" s="149"/>
      <c r="J129" s="149"/>
      <c r="K129" s="149"/>
      <c r="L129" s="149"/>
      <c r="M129" s="149"/>
      <c r="N129" s="149"/>
      <c r="O129" s="149"/>
      <c r="P129" s="149"/>
      <c r="Q129" s="149"/>
      <c r="R129" s="149"/>
      <c r="S129" s="149"/>
      <c r="T129" s="149"/>
      <c r="U129" s="149"/>
      <c r="V129" s="149"/>
      <c r="W129" s="149"/>
      <c r="X129" s="149"/>
      <c r="Y129" s="149"/>
      <c r="Z129" s="149"/>
    </row>
    <row r="130" ht="14.25" customHeight="1">
      <c r="A130" s="149"/>
      <c r="B130" s="168"/>
      <c r="C130" s="149"/>
      <c r="D130" s="149"/>
      <c r="E130" s="168"/>
      <c r="F130" s="149"/>
      <c r="G130" s="149"/>
      <c r="H130" s="149"/>
      <c r="I130" s="149"/>
      <c r="J130" s="149"/>
      <c r="K130" s="149"/>
      <c r="L130" s="149"/>
      <c r="M130" s="149"/>
      <c r="N130" s="149"/>
      <c r="O130" s="149"/>
      <c r="P130" s="149"/>
      <c r="Q130" s="149"/>
      <c r="R130" s="149"/>
      <c r="S130" s="149"/>
      <c r="T130" s="149"/>
      <c r="U130" s="149"/>
      <c r="V130" s="149"/>
      <c r="W130" s="149"/>
      <c r="X130" s="149"/>
      <c r="Y130" s="149"/>
      <c r="Z130" s="149"/>
    </row>
    <row r="131" ht="14.25" customHeight="1">
      <c r="A131" s="149"/>
      <c r="B131" s="168"/>
      <c r="C131" s="149"/>
      <c r="D131" s="149"/>
      <c r="E131" s="168"/>
      <c r="F131" s="149"/>
      <c r="G131" s="149"/>
      <c r="H131" s="149"/>
      <c r="I131" s="149"/>
      <c r="J131" s="149"/>
      <c r="K131" s="149"/>
      <c r="L131" s="149"/>
      <c r="M131" s="149"/>
      <c r="N131" s="149"/>
      <c r="O131" s="149"/>
      <c r="P131" s="149"/>
      <c r="Q131" s="149"/>
      <c r="R131" s="149"/>
      <c r="S131" s="149"/>
      <c r="T131" s="149"/>
      <c r="U131" s="149"/>
      <c r="V131" s="149"/>
      <c r="W131" s="149"/>
      <c r="X131" s="149"/>
      <c r="Y131" s="149"/>
      <c r="Z131" s="149"/>
    </row>
    <row r="132" ht="14.25" customHeight="1">
      <c r="A132" s="149"/>
      <c r="B132" s="168"/>
      <c r="C132" s="149"/>
      <c r="D132" s="149"/>
      <c r="E132" s="168"/>
      <c r="F132" s="149"/>
      <c r="G132" s="149"/>
      <c r="H132" s="149"/>
      <c r="I132" s="149"/>
      <c r="J132" s="149"/>
      <c r="K132" s="149"/>
      <c r="L132" s="149"/>
      <c r="M132" s="149"/>
      <c r="N132" s="149"/>
      <c r="O132" s="149"/>
      <c r="P132" s="149"/>
      <c r="Q132" s="149"/>
      <c r="R132" s="149"/>
      <c r="S132" s="149"/>
      <c r="T132" s="149"/>
      <c r="U132" s="149"/>
      <c r="V132" s="149"/>
      <c r="W132" s="149"/>
      <c r="X132" s="149"/>
      <c r="Y132" s="149"/>
      <c r="Z132" s="149"/>
    </row>
    <row r="133" ht="14.25" customHeight="1">
      <c r="A133" s="149"/>
      <c r="B133" s="168"/>
      <c r="C133" s="149"/>
      <c r="D133" s="149"/>
      <c r="E133" s="168"/>
      <c r="F133" s="149"/>
      <c r="G133" s="149"/>
      <c r="H133" s="149"/>
      <c r="I133" s="149"/>
      <c r="J133" s="149"/>
      <c r="K133" s="149"/>
      <c r="L133" s="149"/>
      <c r="M133" s="149"/>
      <c r="N133" s="149"/>
      <c r="O133" s="149"/>
      <c r="P133" s="149"/>
      <c r="Q133" s="149"/>
      <c r="R133" s="149"/>
      <c r="S133" s="149"/>
      <c r="T133" s="149"/>
      <c r="U133" s="149"/>
      <c r="V133" s="149"/>
      <c r="W133" s="149"/>
      <c r="X133" s="149"/>
      <c r="Y133" s="149"/>
      <c r="Z133" s="149"/>
    </row>
    <row r="134" ht="14.25" customHeight="1">
      <c r="A134" s="149"/>
      <c r="B134" s="168"/>
      <c r="C134" s="149"/>
      <c r="D134" s="149"/>
      <c r="E134" s="168"/>
      <c r="F134" s="149"/>
      <c r="G134" s="149"/>
      <c r="H134" s="149"/>
      <c r="I134" s="149"/>
      <c r="J134" s="149"/>
      <c r="K134" s="149"/>
      <c r="L134" s="149"/>
      <c r="M134" s="149"/>
      <c r="N134" s="149"/>
      <c r="O134" s="149"/>
      <c r="P134" s="149"/>
      <c r="Q134" s="149"/>
      <c r="R134" s="149"/>
      <c r="S134" s="149"/>
      <c r="T134" s="149"/>
      <c r="U134" s="149"/>
      <c r="V134" s="149"/>
      <c r="W134" s="149"/>
      <c r="X134" s="149"/>
      <c r="Y134" s="149"/>
      <c r="Z134" s="149"/>
    </row>
    <row r="135" ht="14.25" customHeight="1">
      <c r="A135" s="149"/>
      <c r="B135" s="168"/>
      <c r="C135" s="149"/>
      <c r="D135" s="149"/>
      <c r="E135" s="168"/>
      <c r="F135" s="149"/>
      <c r="G135" s="149"/>
      <c r="H135" s="149"/>
      <c r="I135" s="149"/>
      <c r="J135" s="149"/>
      <c r="K135" s="149"/>
      <c r="L135" s="149"/>
      <c r="M135" s="149"/>
      <c r="N135" s="149"/>
      <c r="O135" s="149"/>
      <c r="P135" s="149"/>
      <c r="Q135" s="149"/>
      <c r="R135" s="149"/>
      <c r="S135" s="149"/>
      <c r="T135" s="149"/>
      <c r="U135" s="149"/>
      <c r="V135" s="149"/>
      <c r="W135" s="149"/>
      <c r="X135" s="149"/>
      <c r="Y135" s="149"/>
      <c r="Z135" s="149"/>
    </row>
    <row r="136" ht="14.25" customHeight="1">
      <c r="A136" s="149"/>
      <c r="B136" s="168"/>
      <c r="C136" s="149"/>
      <c r="D136" s="149"/>
      <c r="E136" s="168"/>
      <c r="F136" s="149"/>
      <c r="G136" s="149"/>
      <c r="H136" s="149"/>
      <c r="I136" s="149"/>
      <c r="J136" s="149"/>
      <c r="K136" s="149"/>
      <c r="L136" s="149"/>
      <c r="M136" s="149"/>
      <c r="N136" s="149"/>
      <c r="O136" s="149"/>
      <c r="P136" s="149"/>
      <c r="Q136" s="149"/>
      <c r="R136" s="149"/>
      <c r="S136" s="149"/>
      <c r="T136" s="149"/>
      <c r="U136" s="149"/>
      <c r="V136" s="149"/>
      <c r="W136" s="149"/>
      <c r="X136" s="149"/>
      <c r="Y136" s="149"/>
      <c r="Z136" s="149"/>
    </row>
    <row r="137" ht="14.25" customHeight="1">
      <c r="A137" s="149"/>
      <c r="B137" s="168"/>
      <c r="C137" s="149"/>
      <c r="D137" s="149"/>
      <c r="E137" s="168"/>
      <c r="F137" s="149"/>
      <c r="G137" s="149"/>
      <c r="H137" s="149"/>
      <c r="I137" s="149"/>
      <c r="J137" s="149"/>
      <c r="K137" s="149"/>
      <c r="L137" s="149"/>
      <c r="M137" s="149"/>
      <c r="N137" s="149"/>
      <c r="O137" s="149"/>
      <c r="P137" s="149"/>
      <c r="Q137" s="149"/>
      <c r="R137" s="149"/>
      <c r="S137" s="149"/>
      <c r="T137" s="149"/>
      <c r="U137" s="149"/>
      <c r="V137" s="149"/>
      <c r="W137" s="149"/>
      <c r="X137" s="149"/>
      <c r="Y137" s="149"/>
      <c r="Z137" s="149"/>
    </row>
    <row r="138" ht="14.25" customHeight="1">
      <c r="A138" s="149"/>
      <c r="B138" s="168"/>
      <c r="C138" s="149"/>
      <c r="D138" s="149"/>
      <c r="E138" s="168"/>
      <c r="F138" s="149"/>
      <c r="G138" s="149"/>
      <c r="H138" s="149"/>
      <c r="I138" s="149"/>
      <c r="J138" s="149"/>
      <c r="K138" s="149"/>
      <c r="L138" s="149"/>
      <c r="M138" s="149"/>
      <c r="N138" s="149"/>
      <c r="O138" s="149"/>
      <c r="P138" s="149"/>
      <c r="Q138" s="149"/>
      <c r="R138" s="149"/>
      <c r="S138" s="149"/>
      <c r="T138" s="149"/>
      <c r="U138" s="149"/>
      <c r="V138" s="149"/>
      <c r="W138" s="149"/>
      <c r="X138" s="149"/>
      <c r="Y138" s="149"/>
      <c r="Z138" s="149"/>
    </row>
    <row r="139" ht="14.25" customHeight="1">
      <c r="A139" s="149"/>
      <c r="B139" s="168"/>
      <c r="C139" s="149"/>
      <c r="D139" s="149"/>
      <c r="E139" s="168"/>
      <c r="F139" s="149"/>
      <c r="G139" s="149"/>
      <c r="H139" s="149"/>
      <c r="I139" s="149"/>
      <c r="J139" s="149"/>
      <c r="K139" s="149"/>
      <c r="L139" s="149"/>
      <c r="M139" s="149"/>
      <c r="N139" s="149"/>
      <c r="O139" s="149"/>
      <c r="P139" s="149"/>
      <c r="Q139" s="149"/>
      <c r="R139" s="149"/>
      <c r="S139" s="149"/>
      <c r="T139" s="149"/>
      <c r="U139" s="149"/>
      <c r="V139" s="149"/>
      <c r="W139" s="149"/>
      <c r="X139" s="149"/>
      <c r="Y139" s="149"/>
      <c r="Z139" s="149"/>
    </row>
    <row r="140" ht="14.25" customHeight="1">
      <c r="A140" s="149"/>
      <c r="B140" s="168"/>
      <c r="C140" s="149"/>
      <c r="D140" s="149"/>
      <c r="E140" s="168"/>
      <c r="F140" s="149"/>
      <c r="G140" s="149"/>
      <c r="H140" s="149"/>
      <c r="I140" s="149"/>
      <c r="J140" s="149"/>
      <c r="K140" s="149"/>
      <c r="L140" s="149"/>
      <c r="M140" s="149"/>
      <c r="N140" s="149"/>
      <c r="O140" s="149"/>
      <c r="P140" s="149"/>
      <c r="Q140" s="149"/>
      <c r="R140" s="149"/>
      <c r="S140" s="149"/>
      <c r="T140" s="149"/>
      <c r="U140" s="149"/>
      <c r="V140" s="149"/>
      <c r="W140" s="149"/>
      <c r="X140" s="149"/>
      <c r="Y140" s="149"/>
      <c r="Z140" s="149"/>
    </row>
    <row r="141" ht="14.25" customHeight="1">
      <c r="A141" s="149"/>
      <c r="B141" s="168"/>
      <c r="C141" s="149"/>
      <c r="D141" s="149"/>
      <c r="E141" s="168"/>
      <c r="F141" s="149"/>
      <c r="G141" s="149"/>
      <c r="H141" s="149"/>
      <c r="I141" s="149"/>
      <c r="J141" s="149"/>
      <c r="K141" s="149"/>
      <c r="L141" s="149"/>
      <c r="M141" s="149"/>
      <c r="N141" s="149"/>
      <c r="O141" s="149"/>
      <c r="P141" s="149"/>
      <c r="Q141" s="149"/>
      <c r="R141" s="149"/>
      <c r="S141" s="149"/>
      <c r="T141" s="149"/>
      <c r="U141" s="149"/>
      <c r="V141" s="149"/>
      <c r="W141" s="149"/>
      <c r="X141" s="149"/>
      <c r="Y141" s="149"/>
      <c r="Z141" s="149"/>
    </row>
    <row r="142" ht="14.25" customHeight="1">
      <c r="A142" s="149"/>
      <c r="B142" s="168"/>
      <c r="C142" s="149"/>
      <c r="D142" s="149"/>
      <c r="E142" s="168"/>
      <c r="F142" s="149"/>
      <c r="G142" s="149"/>
      <c r="H142" s="149"/>
      <c r="I142" s="149"/>
      <c r="J142" s="149"/>
      <c r="K142" s="149"/>
      <c r="L142" s="149"/>
      <c r="M142" s="149"/>
      <c r="N142" s="149"/>
      <c r="O142" s="149"/>
      <c r="P142" s="149"/>
      <c r="Q142" s="149"/>
      <c r="R142" s="149"/>
      <c r="S142" s="149"/>
      <c r="T142" s="149"/>
      <c r="U142" s="149"/>
      <c r="V142" s="149"/>
      <c r="W142" s="149"/>
      <c r="X142" s="149"/>
      <c r="Y142" s="149"/>
      <c r="Z142" s="149"/>
    </row>
    <row r="143" ht="14.25" customHeight="1">
      <c r="A143" s="149"/>
      <c r="B143" s="168"/>
      <c r="C143" s="149"/>
      <c r="D143" s="149"/>
      <c r="E143" s="168"/>
      <c r="F143" s="149"/>
      <c r="G143" s="149"/>
      <c r="H143" s="149"/>
      <c r="I143" s="149"/>
      <c r="J143" s="149"/>
      <c r="K143" s="149"/>
      <c r="L143" s="149"/>
      <c r="M143" s="149"/>
      <c r="N143" s="149"/>
      <c r="O143" s="149"/>
      <c r="P143" s="149"/>
      <c r="Q143" s="149"/>
      <c r="R143" s="149"/>
      <c r="S143" s="149"/>
      <c r="T143" s="149"/>
      <c r="U143" s="149"/>
      <c r="V143" s="149"/>
      <c r="W143" s="149"/>
      <c r="X143" s="149"/>
      <c r="Y143" s="149"/>
      <c r="Z143" s="149"/>
    </row>
    <row r="144" ht="14.25" customHeight="1">
      <c r="A144" s="149"/>
      <c r="B144" s="168"/>
      <c r="C144" s="149"/>
      <c r="D144" s="149"/>
      <c r="E144" s="168"/>
      <c r="F144" s="149"/>
      <c r="G144" s="149"/>
      <c r="H144" s="149"/>
      <c r="I144" s="149"/>
      <c r="J144" s="149"/>
      <c r="K144" s="149"/>
      <c r="L144" s="149"/>
      <c r="M144" s="149"/>
      <c r="N144" s="149"/>
      <c r="O144" s="149"/>
      <c r="P144" s="149"/>
      <c r="Q144" s="149"/>
      <c r="R144" s="149"/>
      <c r="S144" s="149"/>
      <c r="T144" s="149"/>
      <c r="U144" s="149"/>
      <c r="V144" s="149"/>
      <c r="W144" s="149"/>
      <c r="X144" s="149"/>
      <c r="Y144" s="149"/>
      <c r="Z144" s="149"/>
    </row>
    <row r="145" ht="14.25" customHeight="1">
      <c r="A145" s="149"/>
      <c r="B145" s="168"/>
      <c r="C145" s="149"/>
      <c r="D145" s="149"/>
      <c r="E145" s="168"/>
      <c r="F145" s="149"/>
      <c r="G145" s="149"/>
      <c r="H145" s="149"/>
      <c r="I145" s="149"/>
      <c r="J145" s="149"/>
      <c r="K145" s="149"/>
      <c r="L145" s="149"/>
      <c r="M145" s="149"/>
      <c r="N145" s="149"/>
      <c r="O145" s="149"/>
      <c r="P145" s="149"/>
      <c r="Q145" s="149"/>
      <c r="R145" s="149"/>
      <c r="S145" s="149"/>
      <c r="T145" s="149"/>
      <c r="U145" s="149"/>
      <c r="V145" s="149"/>
      <c r="W145" s="149"/>
      <c r="X145" s="149"/>
      <c r="Y145" s="149"/>
      <c r="Z145" s="149"/>
    </row>
    <row r="146" ht="14.25" customHeight="1">
      <c r="A146" s="149"/>
      <c r="B146" s="168"/>
      <c r="C146" s="149"/>
      <c r="D146" s="149"/>
      <c r="E146" s="168"/>
      <c r="F146" s="149"/>
      <c r="G146" s="149"/>
      <c r="H146" s="149"/>
      <c r="I146" s="149"/>
      <c r="J146" s="149"/>
      <c r="K146" s="149"/>
      <c r="L146" s="149"/>
      <c r="M146" s="149"/>
      <c r="N146" s="149"/>
      <c r="O146" s="149"/>
      <c r="P146" s="149"/>
      <c r="Q146" s="149"/>
      <c r="R146" s="149"/>
      <c r="S146" s="149"/>
      <c r="T146" s="149"/>
      <c r="U146" s="149"/>
      <c r="V146" s="149"/>
      <c r="W146" s="149"/>
      <c r="X146" s="149"/>
      <c r="Y146" s="149"/>
      <c r="Z146" s="149"/>
    </row>
    <row r="147" ht="14.25" customHeight="1">
      <c r="A147" s="149"/>
      <c r="B147" s="168"/>
      <c r="C147" s="149"/>
      <c r="D147" s="149"/>
      <c r="E147" s="168"/>
      <c r="F147" s="149"/>
      <c r="G147" s="149"/>
      <c r="H147" s="149"/>
      <c r="I147" s="149"/>
      <c r="J147" s="149"/>
      <c r="K147" s="149"/>
      <c r="L147" s="149"/>
      <c r="M147" s="149"/>
      <c r="N147" s="149"/>
      <c r="O147" s="149"/>
      <c r="P147" s="149"/>
      <c r="Q147" s="149"/>
      <c r="R147" s="149"/>
      <c r="S147" s="149"/>
      <c r="T147" s="149"/>
      <c r="U147" s="149"/>
      <c r="V147" s="149"/>
      <c r="W147" s="149"/>
      <c r="X147" s="149"/>
      <c r="Y147" s="149"/>
      <c r="Z147" s="149"/>
    </row>
    <row r="148" ht="14.25" customHeight="1">
      <c r="A148" s="149"/>
      <c r="B148" s="168"/>
      <c r="C148" s="149"/>
      <c r="D148" s="149"/>
      <c r="E148" s="168"/>
      <c r="F148" s="149"/>
      <c r="G148" s="149"/>
      <c r="H148" s="149"/>
      <c r="I148" s="149"/>
      <c r="J148" s="149"/>
      <c r="K148" s="149"/>
      <c r="L148" s="149"/>
      <c r="M148" s="149"/>
      <c r="N148" s="149"/>
      <c r="O148" s="149"/>
      <c r="P148" s="149"/>
      <c r="Q148" s="149"/>
      <c r="R148" s="149"/>
      <c r="S148" s="149"/>
      <c r="T148" s="149"/>
      <c r="U148" s="149"/>
      <c r="V148" s="149"/>
      <c r="W148" s="149"/>
      <c r="X148" s="149"/>
      <c r="Y148" s="149"/>
      <c r="Z148" s="149"/>
    </row>
    <row r="149" ht="14.25" customHeight="1">
      <c r="A149" s="149"/>
      <c r="B149" s="168"/>
      <c r="C149" s="149"/>
      <c r="D149" s="149"/>
      <c r="E149" s="168"/>
      <c r="F149" s="149"/>
      <c r="G149" s="149"/>
      <c r="H149" s="149"/>
      <c r="I149" s="149"/>
      <c r="J149" s="149"/>
      <c r="K149" s="149"/>
      <c r="L149" s="149"/>
      <c r="M149" s="149"/>
      <c r="N149" s="149"/>
      <c r="O149" s="149"/>
      <c r="P149" s="149"/>
      <c r="Q149" s="149"/>
      <c r="R149" s="149"/>
      <c r="S149" s="149"/>
      <c r="T149" s="149"/>
      <c r="U149" s="149"/>
      <c r="V149" s="149"/>
      <c r="W149" s="149"/>
      <c r="X149" s="149"/>
      <c r="Y149" s="149"/>
      <c r="Z149" s="149"/>
    </row>
    <row r="150" ht="14.25" customHeight="1">
      <c r="A150" s="149"/>
      <c r="B150" s="168"/>
      <c r="C150" s="149"/>
      <c r="D150" s="149"/>
      <c r="E150" s="168"/>
      <c r="F150" s="149"/>
      <c r="G150" s="149"/>
      <c r="H150" s="149"/>
      <c r="I150" s="149"/>
      <c r="J150" s="149"/>
      <c r="K150" s="149"/>
      <c r="L150" s="149"/>
      <c r="M150" s="149"/>
      <c r="N150" s="149"/>
      <c r="O150" s="149"/>
      <c r="P150" s="149"/>
      <c r="Q150" s="149"/>
      <c r="R150" s="149"/>
      <c r="S150" s="149"/>
      <c r="T150" s="149"/>
      <c r="U150" s="149"/>
      <c r="V150" s="149"/>
      <c r="W150" s="149"/>
      <c r="X150" s="149"/>
      <c r="Y150" s="149"/>
      <c r="Z150" s="149"/>
    </row>
    <row r="151" ht="14.25" customHeight="1">
      <c r="A151" s="149"/>
      <c r="B151" s="168"/>
      <c r="C151" s="149"/>
      <c r="D151" s="149"/>
      <c r="E151" s="168"/>
      <c r="F151" s="149"/>
      <c r="G151" s="149"/>
      <c r="H151" s="149"/>
      <c r="I151" s="149"/>
      <c r="J151" s="149"/>
      <c r="K151" s="149"/>
      <c r="L151" s="149"/>
      <c r="M151" s="149"/>
      <c r="N151" s="149"/>
      <c r="O151" s="149"/>
      <c r="P151" s="149"/>
      <c r="Q151" s="149"/>
      <c r="R151" s="149"/>
      <c r="S151" s="149"/>
      <c r="T151" s="149"/>
      <c r="U151" s="149"/>
      <c r="V151" s="149"/>
      <c r="W151" s="149"/>
      <c r="X151" s="149"/>
      <c r="Y151" s="149"/>
      <c r="Z151" s="149"/>
    </row>
    <row r="152" ht="14.25" customHeight="1">
      <c r="A152" s="149"/>
      <c r="B152" s="168"/>
      <c r="C152" s="149"/>
      <c r="D152" s="149"/>
      <c r="E152" s="168"/>
      <c r="F152" s="149"/>
      <c r="G152" s="149"/>
      <c r="H152" s="149"/>
      <c r="I152" s="149"/>
      <c r="J152" s="149"/>
      <c r="K152" s="149"/>
      <c r="L152" s="149"/>
      <c r="M152" s="149"/>
      <c r="N152" s="149"/>
      <c r="O152" s="149"/>
      <c r="P152" s="149"/>
      <c r="Q152" s="149"/>
      <c r="R152" s="149"/>
      <c r="S152" s="149"/>
      <c r="T152" s="149"/>
      <c r="U152" s="149"/>
      <c r="V152" s="149"/>
      <c r="W152" s="149"/>
      <c r="X152" s="149"/>
      <c r="Y152" s="149"/>
      <c r="Z152" s="149"/>
    </row>
    <row r="153" ht="14.25" customHeight="1">
      <c r="A153" s="149"/>
      <c r="B153" s="168"/>
      <c r="C153" s="149"/>
      <c r="D153" s="149"/>
      <c r="E153" s="168"/>
      <c r="F153" s="149"/>
      <c r="G153" s="149"/>
      <c r="H153" s="149"/>
      <c r="I153" s="149"/>
      <c r="J153" s="149"/>
      <c r="K153" s="149"/>
      <c r="L153" s="149"/>
      <c r="M153" s="149"/>
      <c r="N153" s="149"/>
      <c r="O153" s="149"/>
      <c r="P153" s="149"/>
      <c r="Q153" s="149"/>
      <c r="R153" s="149"/>
      <c r="S153" s="149"/>
      <c r="T153" s="149"/>
      <c r="U153" s="149"/>
      <c r="V153" s="149"/>
      <c r="W153" s="149"/>
      <c r="X153" s="149"/>
      <c r="Y153" s="149"/>
      <c r="Z153" s="149"/>
    </row>
    <row r="154" ht="14.25" customHeight="1">
      <c r="A154" s="149"/>
      <c r="B154" s="168"/>
      <c r="C154" s="149"/>
      <c r="D154" s="149"/>
      <c r="E154" s="168"/>
      <c r="F154" s="149"/>
      <c r="G154" s="149"/>
      <c r="H154" s="149"/>
      <c r="I154" s="149"/>
      <c r="J154" s="149"/>
      <c r="K154" s="149"/>
      <c r="L154" s="149"/>
      <c r="M154" s="149"/>
      <c r="N154" s="149"/>
      <c r="O154" s="149"/>
      <c r="P154" s="149"/>
      <c r="Q154" s="149"/>
      <c r="R154" s="149"/>
      <c r="S154" s="149"/>
      <c r="T154" s="149"/>
      <c r="U154" s="149"/>
      <c r="V154" s="149"/>
      <c r="W154" s="149"/>
      <c r="X154" s="149"/>
      <c r="Y154" s="149"/>
      <c r="Z154" s="149"/>
    </row>
    <row r="155" ht="14.25" customHeight="1">
      <c r="A155" s="149"/>
      <c r="B155" s="168"/>
      <c r="C155" s="149"/>
      <c r="D155" s="149"/>
      <c r="E155" s="168"/>
      <c r="F155" s="149"/>
      <c r="G155" s="149"/>
      <c r="H155" s="149"/>
      <c r="I155" s="149"/>
      <c r="J155" s="149"/>
      <c r="K155" s="149"/>
      <c r="L155" s="149"/>
      <c r="M155" s="149"/>
      <c r="N155" s="149"/>
      <c r="O155" s="149"/>
      <c r="P155" s="149"/>
      <c r="Q155" s="149"/>
      <c r="R155" s="149"/>
      <c r="S155" s="149"/>
      <c r="T155" s="149"/>
      <c r="U155" s="149"/>
      <c r="V155" s="149"/>
      <c r="W155" s="149"/>
      <c r="X155" s="149"/>
      <c r="Y155" s="149"/>
      <c r="Z155" s="149"/>
    </row>
    <row r="156" ht="14.25" customHeight="1">
      <c r="A156" s="149"/>
      <c r="B156" s="168"/>
      <c r="C156" s="149"/>
      <c r="D156" s="149"/>
      <c r="E156" s="168"/>
      <c r="F156" s="149"/>
      <c r="G156" s="149"/>
      <c r="H156" s="149"/>
      <c r="I156" s="149"/>
      <c r="J156" s="149"/>
      <c r="K156" s="149"/>
      <c r="L156" s="149"/>
      <c r="M156" s="149"/>
      <c r="N156" s="149"/>
      <c r="O156" s="149"/>
      <c r="P156" s="149"/>
      <c r="Q156" s="149"/>
      <c r="R156" s="149"/>
      <c r="S156" s="149"/>
      <c r="T156" s="149"/>
      <c r="U156" s="149"/>
      <c r="V156" s="149"/>
      <c r="W156" s="149"/>
      <c r="X156" s="149"/>
      <c r="Y156" s="149"/>
      <c r="Z156" s="149"/>
    </row>
    <row r="157" ht="14.25" customHeight="1">
      <c r="A157" s="149"/>
      <c r="B157" s="168"/>
      <c r="C157" s="149"/>
      <c r="D157" s="149"/>
      <c r="E157" s="168"/>
      <c r="F157" s="149"/>
      <c r="G157" s="149"/>
      <c r="H157" s="149"/>
      <c r="I157" s="149"/>
      <c r="J157" s="149"/>
      <c r="K157" s="149"/>
      <c r="L157" s="149"/>
      <c r="M157" s="149"/>
      <c r="N157" s="149"/>
      <c r="O157" s="149"/>
      <c r="P157" s="149"/>
      <c r="Q157" s="149"/>
      <c r="R157" s="149"/>
      <c r="S157" s="149"/>
      <c r="T157" s="149"/>
      <c r="U157" s="149"/>
      <c r="V157" s="149"/>
      <c r="W157" s="149"/>
      <c r="X157" s="149"/>
      <c r="Y157" s="149"/>
      <c r="Z157" s="149"/>
    </row>
    <row r="158" ht="14.25" customHeight="1">
      <c r="A158" s="149"/>
      <c r="B158" s="168"/>
      <c r="C158" s="149"/>
      <c r="D158" s="149"/>
      <c r="E158" s="168"/>
      <c r="F158" s="149"/>
      <c r="G158" s="149"/>
      <c r="H158" s="149"/>
      <c r="I158" s="149"/>
      <c r="J158" s="149"/>
      <c r="K158" s="149"/>
      <c r="L158" s="149"/>
      <c r="M158" s="149"/>
      <c r="N158" s="149"/>
      <c r="O158" s="149"/>
      <c r="P158" s="149"/>
      <c r="Q158" s="149"/>
      <c r="R158" s="149"/>
      <c r="S158" s="149"/>
      <c r="T158" s="149"/>
      <c r="U158" s="149"/>
      <c r="V158" s="149"/>
      <c r="W158" s="149"/>
      <c r="X158" s="149"/>
      <c r="Y158" s="149"/>
      <c r="Z158" s="149"/>
    </row>
    <row r="159" ht="14.25" customHeight="1">
      <c r="A159" s="149"/>
      <c r="B159" s="168"/>
      <c r="C159" s="149"/>
      <c r="D159" s="149"/>
      <c r="E159" s="168"/>
      <c r="F159" s="149"/>
      <c r="G159" s="149"/>
      <c r="H159" s="149"/>
      <c r="I159" s="149"/>
      <c r="J159" s="149"/>
      <c r="K159" s="149"/>
      <c r="L159" s="149"/>
      <c r="M159" s="149"/>
      <c r="N159" s="149"/>
      <c r="O159" s="149"/>
      <c r="P159" s="149"/>
      <c r="Q159" s="149"/>
      <c r="R159" s="149"/>
      <c r="S159" s="149"/>
      <c r="T159" s="149"/>
      <c r="U159" s="149"/>
      <c r="V159" s="149"/>
      <c r="W159" s="149"/>
      <c r="X159" s="149"/>
      <c r="Y159" s="149"/>
      <c r="Z159" s="149"/>
    </row>
    <row r="160" ht="14.25" customHeight="1">
      <c r="A160" s="149"/>
      <c r="B160" s="168"/>
      <c r="C160" s="149"/>
      <c r="D160" s="149"/>
      <c r="E160" s="168"/>
      <c r="F160" s="149"/>
      <c r="G160" s="149"/>
      <c r="H160" s="149"/>
      <c r="I160" s="149"/>
      <c r="J160" s="149"/>
      <c r="K160" s="149"/>
      <c r="L160" s="149"/>
      <c r="M160" s="149"/>
      <c r="N160" s="149"/>
      <c r="O160" s="149"/>
      <c r="P160" s="149"/>
      <c r="Q160" s="149"/>
      <c r="R160" s="149"/>
      <c r="S160" s="149"/>
      <c r="T160" s="149"/>
      <c r="U160" s="149"/>
      <c r="V160" s="149"/>
      <c r="W160" s="149"/>
      <c r="X160" s="149"/>
      <c r="Y160" s="149"/>
      <c r="Z160" s="149"/>
    </row>
    <row r="161" ht="14.25" customHeight="1">
      <c r="A161" s="149"/>
      <c r="B161" s="168"/>
      <c r="C161" s="149"/>
      <c r="D161" s="149"/>
      <c r="E161" s="168"/>
      <c r="F161" s="149"/>
      <c r="G161" s="149"/>
      <c r="H161" s="149"/>
      <c r="I161" s="149"/>
      <c r="J161" s="149"/>
      <c r="K161" s="149"/>
      <c r="L161" s="149"/>
      <c r="M161" s="149"/>
      <c r="N161" s="149"/>
      <c r="O161" s="149"/>
      <c r="P161" s="149"/>
      <c r="Q161" s="149"/>
      <c r="R161" s="149"/>
      <c r="S161" s="149"/>
      <c r="T161" s="149"/>
      <c r="U161" s="149"/>
      <c r="V161" s="149"/>
      <c r="W161" s="149"/>
      <c r="X161" s="149"/>
      <c r="Y161" s="149"/>
      <c r="Z161" s="149"/>
    </row>
    <row r="162" ht="14.25" customHeight="1">
      <c r="A162" s="149"/>
      <c r="B162" s="168"/>
      <c r="C162" s="149"/>
      <c r="D162" s="149"/>
      <c r="E162" s="168"/>
      <c r="F162" s="149"/>
      <c r="G162" s="149"/>
      <c r="H162" s="149"/>
      <c r="I162" s="149"/>
      <c r="J162" s="149"/>
      <c r="K162" s="149"/>
      <c r="L162" s="149"/>
      <c r="M162" s="149"/>
      <c r="N162" s="149"/>
      <c r="O162" s="149"/>
      <c r="P162" s="149"/>
      <c r="Q162" s="149"/>
      <c r="R162" s="149"/>
      <c r="S162" s="149"/>
      <c r="T162" s="149"/>
      <c r="U162" s="149"/>
      <c r="V162" s="149"/>
      <c r="W162" s="149"/>
      <c r="X162" s="149"/>
      <c r="Y162" s="149"/>
      <c r="Z162" s="149"/>
    </row>
    <row r="163" ht="14.25" customHeight="1">
      <c r="A163" s="149"/>
      <c r="B163" s="168"/>
      <c r="C163" s="149"/>
      <c r="D163" s="149"/>
      <c r="E163" s="168"/>
      <c r="F163" s="149"/>
      <c r="G163" s="149"/>
      <c r="H163" s="149"/>
      <c r="I163" s="149"/>
      <c r="J163" s="149"/>
      <c r="K163" s="149"/>
      <c r="L163" s="149"/>
      <c r="M163" s="149"/>
      <c r="N163" s="149"/>
      <c r="O163" s="149"/>
      <c r="P163" s="149"/>
      <c r="Q163" s="149"/>
      <c r="R163" s="149"/>
      <c r="S163" s="149"/>
      <c r="T163" s="149"/>
      <c r="U163" s="149"/>
      <c r="V163" s="149"/>
      <c r="W163" s="149"/>
      <c r="X163" s="149"/>
      <c r="Y163" s="149"/>
      <c r="Z163" s="149"/>
    </row>
    <row r="164" ht="14.25" customHeight="1">
      <c r="A164" s="149"/>
      <c r="B164" s="168"/>
      <c r="C164" s="149"/>
      <c r="D164" s="149"/>
      <c r="E164" s="168"/>
      <c r="F164" s="149"/>
      <c r="G164" s="149"/>
      <c r="H164" s="149"/>
      <c r="I164" s="149"/>
      <c r="J164" s="149"/>
      <c r="K164" s="149"/>
      <c r="L164" s="149"/>
      <c r="M164" s="149"/>
      <c r="N164" s="149"/>
      <c r="O164" s="149"/>
      <c r="P164" s="149"/>
      <c r="Q164" s="149"/>
      <c r="R164" s="149"/>
      <c r="S164" s="149"/>
      <c r="T164" s="149"/>
      <c r="U164" s="149"/>
      <c r="V164" s="149"/>
      <c r="W164" s="149"/>
      <c r="X164" s="149"/>
      <c r="Y164" s="149"/>
      <c r="Z164" s="149"/>
    </row>
    <row r="165" ht="14.25" customHeight="1">
      <c r="A165" s="149"/>
      <c r="B165" s="168"/>
      <c r="C165" s="149"/>
      <c r="D165" s="149"/>
      <c r="E165" s="168"/>
      <c r="F165" s="149"/>
      <c r="G165" s="149"/>
      <c r="H165" s="149"/>
      <c r="I165" s="149"/>
      <c r="J165" s="149"/>
      <c r="K165" s="149"/>
      <c r="L165" s="149"/>
      <c r="M165" s="149"/>
      <c r="N165" s="149"/>
      <c r="O165" s="149"/>
      <c r="P165" s="149"/>
      <c r="Q165" s="149"/>
      <c r="R165" s="149"/>
      <c r="S165" s="149"/>
      <c r="T165" s="149"/>
      <c r="U165" s="149"/>
      <c r="V165" s="149"/>
      <c r="W165" s="149"/>
      <c r="X165" s="149"/>
      <c r="Y165" s="149"/>
      <c r="Z165" s="149"/>
    </row>
    <row r="166" ht="14.25" customHeight="1">
      <c r="A166" s="149"/>
      <c r="B166" s="168"/>
      <c r="C166" s="149"/>
      <c r="D166" s="149"/>
      <c r="E166" s="168"/>
      <c r="F166" s="149"/>
      <c r="G166" s="149"/>
      <c r="H166" s="149"/>
      <c r="I166" s="149"/>
      <c r="J166" s="149"/>
      <c r="K166" s="149"/>
      <c r="L166" s="149"/>
      <c r="M166" s="149"/>
      <c r="N166" s="149"/>
      <c r="O166" s="149"/>
      <c r="P166" s="149"/>
      <c r="Q166" s="149"/>
      <c r="R166" s="149"/>
      <c r="S166" s="149"/>
      <c r="T166" s="149"/>
      <c r="U166" s="149"/>
      <c r="V166" s="149"/>
      <c r="W166" s="149"/>
      <c r="X166" s="149"/>
      <c r="Y166" s="149"/>
      <c r="Z166" s="149"/>
    </row>
    <row r="167" ht="14.25" customHeight="1">
      <c r="A167" s="149"/>
      <c r="B167" s="168"/>
      <c r="C167" s="149"/>
      <c r="D167" s="149"/>
      <c r="E167" s="168"/>
      <c r="F167" s="149"/>
      <c r="G167" s="149"/>
      <c r="H167" s="149"/>
      <c r="I167" s="149"/>
      <c r="J167" s="149"/>
      <c r="K167" s="149"/>
      <c r="L167" s="149"/>
      <c r="M167" s="149"/>
      <c r="N167" s="149"/>
      <c r="O167" s="149"/>
      <c r="P167" s="149"/>
      <c r="Q167" s="149"/>
      <c r="R167" s="149"/>
      <c r="S167" s="149"/>
      <c r="T167" s="149"/>
      <c r="U167" s="149"/>
      <c r="V167" s="149"/>
      <c r="W167" s="149"/>
      <c r="X167" s="149"/>
      <c r="Y167" s="149"/>
      <c r="Z167" s="149"/>
    </row>
    <row r="168" ht="14.25" customHeight="1">
      <c r="A168" s="149"/>
      <c r="B168" s="168"/>
      <c r="C168" s="149"/>
      <c r="D168" s="149"/>
      <c r="E168" s="168"/>
      <c r="F168" s="149"/>
      <c r="G168" s="149"/>
      <c r="H168" s="149"/>
      <c r="I168" s="149"/>
      <c r="J168" s="149"/>
      <c r="K168" s="149"/>
      <c r="L168" s="149"/>
      <c r="M168" s="149"/>
      <c r="N168" s="149"/>
      <c r="O168" s="149"/>
      <c r="P168" s="149"/>
      <c r="Q168" s="149"/>
      <c r="R168" s="149"/>
      <c r="S168" s="149"/>
      <c r="T168" s="149"/>
      <c r="U168" s="149"/>
      <c r="V168" s="149"/>
      <c r="W168" s="149"/>
      <c r="X168" s="149"/>
      <c r="Y168" s="149"/>
      <c r="Z168" s="149"/>
    </row>
    <row r="169" ht="14.25" customHeight="1">
      <c r="A169" s="149"/>
      <c r="B169" s="168"/>
      <c r="C169" s="149"/>
      <c r="D169" s="149"/>
      <c r="E169" s="168"/>
      <c r="F169" s="149"/>
      <c r="G169" s="149"/>
      <c r="H169" s="149"/>
      <c r="I169" s="149"/>
      <c r="J169" s="149"/>
      <c r="K169" s="149"/>
      <c r="L169" s="149"/>
      <c r="M169" s="149"/>
      <c r="N169" s="149"/>
      <c r="O169" s="149"/>
      <c r="P169" s="149"/>
      <c r="Q169" s="149"/>
      <c r="R169" s="149"/>
      <c r="S169" s="149"/>
      <c r="T169" s="149"/>
      <c r="U169" s="149"/>
      <c r="V169" s="149"/>
      <c r="W169" s="149"/>
      <c r="X169" s="149"/>
      <c r="Y169" s="149"/>
      <c r="Z169" s="149"/>
    </row>
    <row r="170" ht="14.25" customHeight="1">
      <c r="A170" s="149"/>
      <c r="B170" s="168"/>
      <c r="C170" s="149"/>
      <c r="D170" s="149"/>
      <c r="E170" s="168"/>
      <c r="F170" s="149"/>
      <c r="G170" s="149"/>
      <c r="H170" s="149"/>
      <c r="I170" s="149"/>
      <c r="J170" s="149"/>
      <c r="K170" s="149"/>
      <c r="L170" s="149"/>
      <c r="M170" s="149"/>
      <c r="N170" s="149"/>
      <c r="O170" s="149"/>
      <c r="P170" s="149"/>
      <c r="Q170" s="149"/>
      <c r="R170" s="149"/>
      <c r="S170" s="149"/>
      <c r="T170" s="149"/>
      <c r="U170" s="149"/>
      <c r="V170" s="149"/>
      <c r="W170" s="149"/>
      <c r="X170" s="149"/>
      <c r="Y170" s="149"/>
      <c r="Z170" s="149"/>
    </row>
    <row r="171" ht="14.25" customHeight="1">
      <c r="A171" s="149"/>
      <c r="B171" s="168"/>
      <c r="C171" s="149"/>
      <c r="D171" s="149"/>
      <c r="E171" s="168"/>
      <c r="F171" s="149"/>
      <c r="G171" s="149"/>
      <c r="H171" s="149"/>
      <c r="I171" s="149"/>
      <c r="J171" s="149"/>
      <c r="K171" s="149"/>
      <c r="L171" s="149"/>
      <c r="M171" s="149"/>
      <c r="N171" s="149"/>
      <c r="O171" s="149"/>
      <c r="P171" s="149"/>
      <c r="Q171" s="149"/>
      <c r="R171" s="149"/>
      <c r="S171" s="149"/>
      <c r="T171" s="149"/>
      <c r="U171" s="149"/>
      <c r="V171" s="149"/>
      <c r="W171" s="149"/>
      <c r="X171" s="149"/>
      <c r="Y171" s="149"/>
      <c r="Z171" s="149"/>
    </row>
    <row r="172" ht="14.25" customHeight="1">
      <c r="A172" s="149"/>
      <c r="B172" s="168"/>
      <c r="C172" s="149"/>
      <c r="D172" s="149"/>
      <c r="E172" s="168"/>
      <c r="F172" s="149"/>
      <c r="G172" s="149"/>
      <c r="H172" s="149"/>
      <c r="I172" s="149"/>
      <c r="J172" s="149"/>
      <c r="K172" s="149"/>
      <c r="L172" s="149"/>
      <c r="M172" s="149"/>
      <c r="N172" s="149"/>
      <c r="O172" s="149"/>
      <c r="P172" s="149"/>
      <c r="Q172" s="149"/>
      <c r="R172" s="149"/>
      <c r="S172" s="149"/>
      <c r="T172" s="149"/>
      <c r="U172" s="149"/>
      <c r="V172" s="149"/>
      <c r="W172" s="149"/>
      <c r="X172" s="149"/>
      <c r="Y172" s="149"/>
      <c r="Z172" s="149"/>
    </row>
    <row r="173" ht="14.25" customHeight="1">
      <c r="A173" s="149"/>
      <c r="B173" s="168"/>
      <c r="C173" s="149"/>
      <c r="D173" s="149"/>
      <c r="E173" s="168"/>
      <c r="F173" s="149"/>
      <c r="G173" s="149"/>
      <c r="H173" s="149"/>
      <c r="I173" s="149"/>
      <c r="J173" s="149"/>
      <c r="K173" s="149"/>
      <c r="L173" s="149"/>
      <c r="M173" s="149"/>
      <c r="N173" s="149"/>
      <c r="O173" s="149"/>
      <c r="P173" s="149"/>
      <c r="Q173" s="149"/>
      <c r="R173" s="149"/>
      <c r="S173" s="149"/>
      <c r="T173" s="149"/>
      <c r="U173" s="149"/>
      <c r="V173" s="149"/>
      <c r="W173" s="149"/>
      <c r="X173" s="149"/>
      <c r="Y173" s="149"/>
      <c r="Z173" s="149"/>
    </row>
    <row r="174" ht="14.25" customHeight="1">
      <c r="A174" s="149"/>
      <c r="B174" s="168"/>
      <c r="C174" s="149"/>
      <c r="D174" s="149"/>
      <c r="E174" s="168"/>
      <c r="F174" s="149"/>
      <c r="G174" s="149"/>
      <c r="H174" s="149"/>
      <c r="I174" s="149"/>
      <c r="J174" s="149"/>
      <c r="K174" s="149"/>
      <c r="L174" s="149"/>
      <c r="M174" s="149"/>
      <c r="N174" s="149"/>
      <c r="O174" s="149"/>
      <c r="P174" s="149"/>
      <c r="Q174" s="149"/>
      <c r="R174" s="149"/>
      <c r="S174" s="149"/>
      <c r="T174" s="149"/>
      <c r="U174" s="149"/>
      <c r="V174" s="149"/>
      <c r="W174" s="149"/>
      <c r="X174" s="149"/>
      <c r="Y174" s="149"/>
      <c r="Z174" s="149"/>
    </row>
    <row r="175" ht="14.25" customHeight="1">
      <c r="A175" s="149"/>
      <c r="B175" s="168"/>
      <c r="C175" s="149"/>
      <c r="D175" s="149"/>
      <c r="E175" s="168"/>
      <c r="F175" s="149"/>
      <c r="G175" s="149"/>
      <c r="H175" s="149"/>
      <c r="I175" s="149"/>
      <c r="J175" s="149"/>
      <c r="K175" s="149"/>
      <c r="L175" s="149"/>
      <c r="M175" s="149"/>
      <c r="N175" s="149"/>
      <c r="O175" s="149"/>
      <c r="P175" s="149"/>
      <c r="Q175" s="149"/>
      <c r="R175" s="149"/>
      <c r="S175" s="149"/>
      <c r="T175" s="149"/>
      <c r="U175" s="149"/>
      <c r="V175" s="149"/>
      <c r="W175" s="149"/>
      <c r="X175" s="149"/>
      <c r="Y175" s="149"/>
      <c r="Z175" s="149"/>
    </row>
    <row r="176" ht="14.25" customHeight="1">
      <c r="A176" s="149"/>
      <c r="B176" s="168"/>
      <c r="C176" s="149"/>
      <c r="D176" s="149"/>
      <c r="E176" s="168"/>
      <c r="F176" s="149"/>
      <c r="G176" s="149"/>
      <c r="H176" s="149"/>
      <c r="I176" s="149"/>
      <c r="J176" s="149"/>
      <c r="K176" s="149"/>
      <c r="L176" s="149"/>
      <c r="M176" s="149"/>
      <c r="N176" s="149"/>
      <c r="O176" s="149"/>
      <c r="P176" s="149"/>
      <c r="Q176" s="149"/>
      <c r="R176" s="149"/>
      <c r="S176" s="149"/>
      <c r="T176" s="149"/>
      <c r="U176" s="149"/>
      <c r="V176" s="149"/>
      <c r="W176" s="149"/>
      <c r="X176" s="149"/>
      <c r="Y176" s="149"/>
      <c r="Z176" s="149"/>
    </row>
    <row r="177" ht="14.25" customHeight="1">
      <c r="A177" s="149"/>
      <c r="B177" s="168"/>
      <c r="C177" s="149"/>
      <c r="D177" s="149"/>
      <c r="E177" s="168"/>
      <c r="F177" s="149"/>
      <c r="G177" s="149"/>
      <c r="H177" s="149"/>
      <c r="I177" s="149"/>
      <c r="J177" s="149"/>
      <c r="K177" s="149"/>
      <c r="L177" s="149"/>
      <c r="M177" s="149"/>
      <c r="N177" s="149"/>
      <c r="O177" s="149"/>
      <c r="P177" s="149"/>
      <c r="Q177" s="149"/>
      <c r="R177" s="149"/>
      <c r="S177" s="149"/>
      <c r="T177" s="149"/>
      <c r="U177" s="149"/>
      <c r="V177" s="149"/>
      <c r="W177" s="149"/>
      <c r="X177" s="149"/>
      <c r="Y177" s="149"/>
      <c r="Z177" s="149"/>
    </row>
    <row r="178" ht="14.25" customHeight="1">
      <c r="A178" s="149"/>
      <c r="B178" s="168"/>
      <c r="C178" s="149"/>
      <c r="D178" s="149"/>
      <c r="E178" s="168"/>
      <c r="F178" s="149"/>
      <c r="G178" s="149"/>
      <c r="H178" s="149"/>
      <c r="I178" s="149"/>
      <c r="J178" s="149"/>
      <c r="K178" s="149"/>
      <c r="L178" s="149"/>
      <c r="M178" s="149"/>
      <c r="N178" s="149"/>
      <c r="O178" s="149"/>
      <c r="P178" s="149"/>
      <c r="Q178" s="149"/>
      <c r="R178" s="149"/>
      <c r="S178" s="149"/>
      <c r="T178" s="149"/>
      <c r="U178" s="149"/>
      <c r="V178" s="149"/>
      <c r="W178" s="149"/>
      <c r="X178" s="149"/>
      <c r="Y178" s="149"/>
      <c r="Z178" s="149"/>
    </row>
    <row r="179" ht="14.25" customHeight="1">
      <c r="A179" s="149"/>
      <c r="B179" s="168"/>
      <c r="C179" s="149"/>
      <c r="D179" s="149"/>
      <c r="E179" s="168"/>
      <c r="F179" s="149"/>
      <c r="G179" s="149"/>
      <c r="H179" s="149"/>
      <c r="I179" s="149"/>
      <c r="J179" s="149"/>
      <c r="K179" s="149"/>
      <c r="L179" s="149"/>
      <c r="M179" s="149"/>
      <c r="N179" s="149"/>
      <c r="O179" s="149"/>
      <c r="P179" s="149"/>
      <c r="Q179" s="149"/>
      <c r="R179" s="149"/>
      <c r="S179" s="149"/>
      <c r="T179" s="149"/>
      <c r="U179" s="149"/>
      <c r="V179" s="149"/>
      <c r="W179" s="149"/>
      <c r="X179" s="149"/>
      <c r="Y179" s="149"/>
      <c r="Z179" s="149"/>
    </row>
    <row r="180" ht="14.25" customHeight="1">
      <c r="A180" s="149"/>
      <c r="B180" s="168"/>
      <c r="C180" s="149"/>
      <c r="D180" s="149"/>
      <c r="E180" s="168"/>
      <c r="F180" s="149"/>
      <c r="G180" s="149"/>
      <c r="H180" s="149"/>
      <c r="I180" s="149"/>
      <c r="J180" s="149"/>
      <c r="K180" s="149"/>
      <c r="L180" s="149"/>
      <c r="M180" s="149"/>
      <c r="N180" s="149"/>
      <c r="O180" s="149"/>
      <c r="P180" s="149"/>
      <c r="Q180" s="149"/>
      <c r="R180" s="149"/>
      <c r="S180" s="149"/>
      <c r="T180" s="149"/>
      <c r="U180" s="149"/>
      <c r="V180" s="149"/>
      <c r="W180" s="149"/>
      <c r="X180" s="149"/>
      <c r="Y180" s="149"/>
      <c r="Z180" s="149"/>
    </row>
    <row r="181" ht="14.25" customHeight="1">
      <c r="A181" s="149"/>
      <c r="B181" s="168"/>
      <c r="C181" s="149"/>
      <c r="D181" s="149"/>
      <c r="E181" s="168"/>
      <c r="F181" s="149"/>
      <c r="G181" s="149"/>
      <c r="H181" s="149"/>
      <c r="I181" s="149"/>
      <c r="J181" s="149"/>
      <c r="K181" s="149"/>
      <c r="L181" s="149"/>
      <c r="M181" s="149"/>
      <c r="N181" s="149"/>
      <c r="O181" s="149"/>
      <c r="P181" s="149"/>
      <c r="Q181" s="149"/>
      <c r="R181" s="149"/>
      <c r="S181" s="149"/>
      <c r="T181" s="149"/>
      <c r="U181" s="149"/>
      <c r="V181" s="149"/>
      <c r="W181" s="149"/>
      <c r="X181" s="149"/>
      <c r="Y181" s="149"/>
      <c r="Z181" s="149"/>
    </row>
    <row r="182" ht="14.25" customHeight="1">
      <c r="A182" s="149"/>
      <c r="B182" s="168"/>
      <c r="C182" s="149"/>
      <c r="D182" s="149"/>
      <c r="E182" s="168"/>
      <c r="F182" s="149"/>
      <c r="G182" s="149"/>
      <c r="H182" s="149"/>
      <c r="I182" s="149"/>
      <c r="J182" s="149"/>
      <c r="K182" s="149"/>
      <c r="L182" s="149"/>
      <c r="M182" s="149"/>
      <c r="N182" s="149"/>
      <c r="O182" s="149"/>
      <c r="P182" s="149"/>
      <c r="Q182" s="149"/>
      <c r="R182" s="149"/>
      <c r="S182" s="149"/>
      <c r="T182" s="149"/>
      <c r="U182" s="149"/>
      <c r="V182" s="149"/>
      <c r="W182" s="149"/>
      <c r="X182" s="149"/>
      <c r="Y182" s="149"/>
      <c r="Z182" s="149"/>
    </row>
    <row r="183" ht="14.25" customHeight="1">
      <c r="A183" s="149"/>
      <c r="B183" s="168"/>
      <c r="C183" s="149"/>
      <c r="D183" s="149"/>
      <c r="E183" s="168"/>
      <c r="F183" s="149"/>
      <c r="G183" s="149"/>
      <c r="H183" s="149"/>
      <c r="I183" s="149"/>
      <c r="J183" s="149"/>
      <c r="K183" s="149"/>
      <c r="L183" s="149"/>
      <c r="M183" s="149"/>
      <c r="N183" s="149"/>
      <c r="O183" s="149"/>
      <c r="P183" s="149"/>
      <c r="Q183" s="149"/>
      <c r="R183" s="149"/>
      <c r="S183" s="149"/>
      <c r="T183" s="149"/>
      <c r="U183" s="149"/>
      <c r="V183" s="149"/>
      <c r="W183" s="149"/>
      <c r="X183" s="149"/>
      <c r="Y183" s="149"/>
      <c r="Z183" s="149"/>
    </row>
    <row r="184" ht="14.25" customHeight="1">
      <c r="A184" s="149"/>
      <c r="B184" s="168"/>
      <c r="C184" s="149"/>
      <c r="D184" s="149"/>
      <c r="E184" s="168"/>
      <c r="F184" s="149"/>
      <c r="G184" s="149"/>
      <c r="H184" s="149"/>
      <c r="I184" s="149"/>
      <c r="J184" s="149"/>
      <c r="K184" s="149"/>
      <c r="L184" s="149"/>
      <c r="M184" s="149"/>
      <c r="N184" s="149"/>
      <c r="O184" s="149"/>
      <c r="P184" s="149"/>
      <c r="Q184" s="149"/>
      <c r="R184" s="149"/>
      <c r="S184" s="149"/>
      <c r="T184" s="149"/>
      <c r="U184" s="149"/>
      <c r="V184" s="149"/>
      <c r="W184" s="149"/>
      <c r="X184" s="149"/>
      <c r="Y184" s="149"/>
      <c r="Z184" s="149"/>
    </row>
    <row r="185" ht="14.25" customHeight="1">
      <c r="A185" s="149"/>
      <c r="B185" s="168"/>
      <c r="C185" s="149"/>
      <c r="D185" s="149"/>
      <c r="E185" s="168"/>
      <c r="F185" s="149"/>
      <c r="G185" s="149"/>
      <c r="H185" s="149"/>
      <c r="I185" s="149"/>
      <c r="J185" s="149"/>
      <c r="K185" s="149"/>
      <c r="L185" s="149"/>
      <c r="M185" s="149"/>
      <c r="N185" s="149"/>
      <c r="O185" s="149"/>
      <c r="P185" s="149"/>
      <c r="Q185" s="149"/>
      <c r="R185" s="149"/>
      <c r="S185" s="149"/>
      <c r="T185" s="149"/>
      <c r="U185" s="149"/>
      <c r="V185" s="149"/>
      <c r="W185" s="149"/>
      <c r="X185" s="149"/>
      <c r="Y185" s="149"/>
      <c r="Z185" s="149"/>
    </row>
    <row r="186" ht="14.25" customHeight="1">
      <c r="A186" s="149"/>
      <c r="B186" s="168"/>
      <c r="C186" s="149"/>
      <c r="D186" s="149"/>
      <c r="E186" s="168"/>
      <c r="F186" s="149"/>
      <c r="G186" s="149"/>
      <c r="H186" s="149"/>
      <c r="I186" s="149"/>
      <c r="J186" s="149"/>
      <c r="K186" s="149"/>
      <c r="L186" s="149"/>
      <c r="M186" s="149"/>
      <c r="N186" s="149"/>
      <c r="O186" s="149"/>
      <c r="P186" s="149"/>
      <c r="Q186" s="149"/>
      <c r="R186" s="149"/>
      <c r="S186" s="149"/>
      <c r="T186" s="149"/>
      <c r="U186" s="149"/>
      <c r="V186" s="149"/>
      <c r="W186" s="149"/>
      <c r="X186" s="149"/>
      <c r="Y186" s="149"/>
      <c r="Z186" s="149"/>
    </row>
    <row r="187" ht="14.25" customHeight="1">
      <c r="A187" s="149"/>
      <c r="B187" s="168"/>
      <c r="C187" s="149"/>
      <c r="D187" s="149"/>
      <c r="E187" s="168"/>
      <c r="F187" s="149"/>
      <c r="G187" s="149"/>
      <c r="H187" s="149"/>
      <c r="I187" s="149"/>
      <c r="J187" s="149"/>
      <c r="K187" s="149"/>
      <c r="L187" s="149"/>
      <c r="M187" s="149"/>
      <c r="N187" s="149"/>
      <c r="O187" s="149"/>
      <c r="P187" s="149"/>
      <c r="Q187" s="149"/>
      <c r="R187" s="149"/>
      <c r="S187" s="149"/>
      <c r="T187" s="149"/>
      <c r="U187" s="149"/>
      <c r="V187" s="149"/>
      <c r="W187" s="149"/>
      <c r="X187" s="149"/>
      <c r="Y187" s="149"/>
      <c r="Z187" s="149"/>
    </row>
    <row r="188" ht="14.25" customHeight="1">
      <c r="A188" s="149"/>
      <c r="B188" s="168"/>
      <c r="C188" s="149"/>
      <c r="D188" s="149"/>
      <c r="E188" s="168"/>
      <c r="F188" s="149"/>
      <c r="G188" s="149"/>
      <c r="H188" s="149"/>
      <c r="I188" s="149"/>
      <c r="J188" s="149"/>
      <c r="K188" s="149"/>
      <c r="L188" s="149"/>
      <c r="M188" s="149"/>
      <c r="N188" s="149"/>
      <c r="O188" s="149"/>
      <c r="P188" s="149"/>
      <c r="Q188" s="149"/>
      <c r="R188" s="149"/>
      <c r="S188" s="149"/>
      <c r="T188" s="149"/>
      <c r="U188" s="149"/>
      <c r="V188" s="149"/>
      <c r="W188" s="149"/>
      <c r="X188" s="149"/>
      <c r="Y188" s="149"/>
      <c r="Z188" s="149"/>
    </row>
    <row r="189" ht="14.25" customHeight="1">
      <c r="A189" s="149"/>
      <c r="B189" s="168"/>
      <c r="C189" s="149"/>
      <c r="D189" s="149"/>
      <c r="E189" s="168"/>
      <c r="F189" s="149"/>
      <c r="G189" s="149"/>
      <c r="H189" s="149"/>
      <c r="I189" s="149"/>
      <c r="J189" s="149"/>
      <c r="K189" s="149"/>
      <c r="L189" s="149"/>
      <c r="M189" s="149"/>
      <c r="N189" s="149"/>
      <c r="O189" s="149"/>
      <c r="P189" s="149"/>
      <c r="Q189" s="149"/>
      <c r="R189" s="149"/>
      <c r="S189" s="149"/>
      <c r="T189" s="149"/>
      <c r="U189" s="149"/>
      <c r="V189" s="149"/>
      <c r="W189" s="149"/>
      <c r="X189" s="149"/>
      <c r="Y189" s="149"/>
      <c r="Z189" s="149"/>
    </row>
    <row r="190" ht="14.25" customHeight="1">
      <c r="A190" s="149"/>
      <c r="B190" s="168"/>
      <c r="C190" s="149"/>
      <c r="D190" s="149"/>
      <c r="E190" s="168"/>
      <c r="F190" s="149"/>
      <c r="G190" s="149"/>
      <c r="H190" s="149"/>
      <c r="I190" s="149"/>
      <c r="J190" s="149"/>
      <c r="K190" s="149"/>
      <c r="L190" s="149"/>
      <c r="M190" s="149"/>
      <c r="N190" s="149"/>
      <c r="O190" s="149"/>
      <c r="P190" s="149"/>
      <c r="Q190" s="149"/>
      <c r="R190" s="149"/>
      <c r="S190" s="149"/>
      <c r="T190" s="149"/>
      <c r="U190" s="149"/>
      <c r="V190" s="149"/>
      <c r="W190" s="149"/>
      <c r="X190" s="149"/>
      <c r="Y190" s="149"/>
      <c r="Z190" s="149"/>
    </row>
    <row r="191" ht="14.25" customHeight="1">
      <c r="A191" s="149"/>
      <c r="B191" s="168"/>
      <c r="C191" s="149"/>
      <c r="D191" s="149"/>
      <c r="E191" s="168"/>
      <c r="F191" s="149"/>
      <c r="G191" s="149"/>
      <c r="H191" s="149"/>
      <c r="I191" s="149"/>
      <c r="J191" s="149"/>
      <c r="K191" s="149"/>
      <c r="L191" s="149"/>
      <c r="M191" s="149"/>
      <c r="N191" s="149"/>
      <c r="O191" s="149"/>
      <c r="P191" s="149"/>
      <c r="Q191" s="149"/>
      <c r="R191" s="149"/>
      <c r="S191" s="149"/>
      <c r="T191" s="149"/>
      <c r="U191" s="149"/>
      <c r="V191" s="149"/>
      <c r="W191" s="149"/>
      <c r="X191" s="149"/>
      <c r="Y191" s="149"/>
      <c r="Z191" s="149"/>
    </row>
    <row r="192" ht="14.25" customHeight="1">
      <c r="A192" s="149"/>
      <c r="B192" s="168"/>
      <c r="C192" s="149"/>
      <c r="D192" s="149"/>
      <c r="E192" s="168"/>
      <c r="F192" s="149"/>
      <c r="G192" s="149"/>
      <c r="H192" s="149"/>
      <c r="I192" s="149"/>
      <c r="J192" s="149"/>
      <c r="K192" s="149"/>
      <c r="L192" s="149"/>
      <c r="M192" s="149"/>
      <c r="N192" s="149"/>
      <c r="O192" s="149"/>
      <c r="P192" s="149"/>
      <c r="Q192" s="149"/>
      <c r="R192" s="149"/>
      <c r="S192" s="149"/>
      <c r="T192" s="149"/>
      <c r="U192" s="149"/>
      <c r="V192" s="149"/>
      <c r="W192" s="149"/>
      <c r="X192" s="149"/>
      <c r="Y192" s="149"/>
      <c r="Z192" s="149"/>
    </row>
    <row r="193" ht="14.25" customHeight="1">
      <c r="A193" s="149"/>
      <c r="B193" s="168"/>
      <c r="C193" s="149"/>
      <c r="D193" s="149"/>
      <c r="E193" s="168"/>
      <c r="F193" s="149"/>
      <c r="G193" s="149"/>
      <c r="H193" s="149"/>
      <c r="I193" s="149"/>
      <c r="J193" s="149"/>
      <c r="K193" s="149"/>
      <c r="L193" s="149"/>
      <c r="M193" s="149"/>
      <c r="N193" s="149"/>
      <c r="O193" s="149"/>
      <c r="P193" s="149"/>
      <c r="Q193" s="149"/>
      <c r="R193" s="149"/>
      <c r="S193" s="149"/>
      <c r="T193" s="149"/>
      <c r="U193" s="149"/>
      <c r="V193" s="149"/>
      <c r="W193" s="149"/>
      <c r="X193" s="149"/>
      <c r="Y193" s="149"/>
      <c r="Z193" s="149"/>
    </row>
    <row r="194" ht="14.25" customHeight="1">
      <c r="A194" s="149"/>
      <c r="B194" s="168"/>
      <c r="C194" s="149"/>
      <c r="D194" s="149"/>
      <c r="E194" s="168"/>
      <c r="F194" s="149"/>
      <c r="G194" s="149"/>
      <c r="H194" s="149"/>
      <c r="I194" s="149"/>
      <c r="J194" s="149"/>
      <c r="K194" s="149"/>
      <c r="L194" s="149"/>
      <c r="M194" s="149"/>
      <c r="N194" s="149"/>
      <c r="O194" s="149"/>
      <c r="P194" s="149"/>
      <c r="Q194" s="149"/>
      <c r="R194" s="149"/>
      <c r="S194" s="149"/>
      <c r="T194" s="149"/>
      <c r="U194" s="149"/>
      <c r="V194" s="149"/>
      <c r="W194" s="149"/>
      <c r="X194" s="149"/>
      <c r="Y194" s="149"/>
      <c r="Z194" s="149"/>
    </row>
    <row r="195" ht="14.25" customHeight="1">
      <c r="A195" s="149"/>
      <c r="B195" s="168"/>
      <c r="C195" s="149"/>
      <c r="D195" s="149"/>
      <c r="E195" s="168"/>
      <c r="F195" s="149"/>
      <c r="G195" s="149"/>
      <c r="H195" s="149"/>
      <c r="I195" s="149"/>
      <c r="J195" s="149"/>
      <c r="K195" s="149"/>
      <c r="L195" s="149"/>
      <c r="M195" s="149"/>
      <c r="N195" s="149"/>
      <c r="O195" s="149"/>
      <c r="P195" s="149"/>
      <c r="Q195" s="149"/>
      <c r="R195" s="149"/>
      <c r="S195" s="149"/>
      <c r="T195" s="149"/>
      <c r="U195" s="149"/>
      <c r="V195" s="149"/>
      <c r="W195" s="149"/>
      <c r="X195" s="149"/>
      <c r="Y195" s="149"/>
      <c r="Z195" s="149"/>
    </row>
    <row r="196" ht="14.25" customHeight="1">
      <c r="A196" s="149"/>
      <c r="B196" s="168"/>
      <c r="C196" s="149"/>
      <c r="D196" s="149"/>
      <c r="E196" s="168"/>
      <c r="F196" s="149"/>
      <c r="G196" s="149"/>
      <c r="H196" s="149"/>
      <c r="I196" s="149"/>
      <c r="J196" s="149"/>
      <c r="K196" s="149"/>
      <c r="L196" s="149"/>
      <c r="M196" s="149"/>
      <c r="N196" s="149"/>
      <c r="O196" s="149"/>
      <c r="P196" s="149"/>
      <c r="Q196" s="149"/>
      <c r="R196" s="149"/>
      <c r="S196" s="149"/>
      <c r="T196" s="149"/>
      <c r="U196" s="149"/>
      <c r="V196" s="149"/>
      <c r="W196" s="149"/>
      <c r="X196" s="149"/>
      <c r="Y196" s="149"/>
      <c r="Z196" s="149"/>
    </row>
    <row r="197" ht="14.25" customHeight="1">
      <c r="A197" s="149"/>
      <c r="B197" s="168"/>
      <c r="C197" s="149"/>
      <c r="D197" s="149"/>
      <c r="E197" s="168"/>
      <c r="F197" s="149"/>
      <c r="G197" s="149"/>
      <c r="H197" s="149"/>
      <c r="I197" s="149"/>
      <c r="J197" s="149"/>
      <c r="K197" s="149"/>
      <c r="L197" s="149"/>
      <c r="M197" s="149"/>
      <c r="N197" s="149"/>
      <c r="O197" s="149"/>
      <c r="P197" s="149"/>
      <c r="Q197" s="149"/>
      <c r="R197" s="149"/>
      <c r="S197" s="149"/>
      <c r="T197" s="149"/>
      <c r="U197" s="149"/>
      <c r="V197" s="149"/>
      <c r="W197" s="149"/>
      <c r="X197" s="149"/>
      <c r="Y197" s="149"/>
      <c r="Z197" s="149"/>
    </row>
    <row r="198" ht="14.25" customHeight="1">
      <c r="A198" s="149"/>
      <c r="B198" s="168"/>
      <c r="C198" s="149"/>
      <c r="D198" s="149"/>
      <c r="E198" s="168"/>
      <c r="F198" s="149"/>
      <c r="G198" s="149"/>
      <c r="H198" s="149"/>
      <c r="I198" s="149"/>
      <c r="J198" s="149"/>
      <c r="K198" s="149"/>
      <c r="L198" s="149"/>
      <c r="M198" s="149"/>
      <c r="N198" s="149"/>
      <c r="O198" s="149"/>
      <c r="P198" s="149"/>
      <c r="Q198" s="149"/>
      <c r="R198" s="149"/>
      <c r="S198" s="149"/>
      <c r="T198" s="149"/>
      <c r="U198" s="149"/>
      <c r="V198" s="149"/>
      <c r="W198" s="149"/>
      <c r="X198" s="149"/>
      <c r="Y198" s="149"/>
      <c r="Z198" s="149"/>
    </row>
    <row r="199" ht="14.25" customHeight="1">
      <c r="A199" s="149"/>
      <c r="B199" s="168"/>
      <c r="C199" s="149"/>
      <c r="D199" s="149"/>
      <c r="E199" s="168"/>
      <c r="F199" s="149"/>
      <c r="G199" s="149"/>
      <c r="H199" s="149"/>
      <c r="I199" s="149"/>
      <c r="J199" s="149"/>
      <c r="K199" s="149"/>
      <c r="L199" s="149"/>
      <c r="M199" s="149"/>
      <c r="N199" s="149"/>
      <c r="O199" s="149"/>
      <c r="P199" s="149"/>
      <c r="Q199" s="149"/>
      <c r="R199" s="149"/>
      <c r="S199" s="149"/>
      <c r="T199" s="149"/>
      <c r="U199" s="149"/>
      <c r="V199" s="149"/>
      <c r="W199" s="149"/>
      <c r="X199" s="149"/>
      <c r="Y199" s="149"/>
      <c r="Z199" s="149"/>
    </row>
    <row r="200" ht="14.25" customHeight="1">
      <c r="A200" s="149"/>
      <c r="B200" s="168"/>
      <c r="C200" s="149"/>
      <c r="D200" s="149"/>
      <c r="E200" s="168"/>
      <c r="F200" s="149"/>
      <c r="G200" s="149"/>
      <c r="H200" s="149"/>
      <c r="I200" s="149"/>
      <c r="J200" s="149"/>
      <c r="K200" s="149"/>
      <c r="L200" s="149"/>
      <c r="M200" s="149"/>
      <c r="N200" s="149"/>
      <c r="O200" s="149"/>
      <c r="P200" s="149"/>
      <c r="Q200" s="149"/>
      <c r="R200" s="149"/>
      <c r="S200" s="149"/>
      <c r="T200" s="149"/>
      <c r="U200" s="149"/>
      <c r="V200" s="149"/>
      <c r="W200" s="149"/>
      <c r="X200" s="149"/>
      <c r="Y200" s="149"/>
      <c r="Z200" s="149"/>
    </row>
    <row r="201" ht="14.25" customHeight="1">
      <c r="A201" s="149"/>
      <c r="B201" s="168"/>
      <c r="C201" s="149"/>
      <c r="D201" s="149"/>
      <c r="E201" s="168"/>
      <c r="F201" s="149"/>
      <c r="G201" s="149"/>
      <c r="H201" s="149"/>
      <c r="I201" s="149"/>
      <c r="J201" s="149"/>
      <c r="K201" s="149"/>
      <c r="L201" s="149"/>
      <c r="M201" s="149"/>
      <c r="N201" s="149"/>
      <c r="O201" s="149"/>
      <c r="P201" s="149"/>
      <c r="Q201" s="149"/>
      <c r="R201" s="149"/>
      <c r="S201" s="149"/>
      <c r="T201" s="149"/>
      <c r="U201" s="149"/>
      <c r="V201" s="149"/>
      <c r="W201" s="149"/>
      <c r="X201" s="149"/>
      <c r="Y201" s="149"/>
      <c r="Z201" s="149"/>
    </row>
    <row r="202" ht="14.25" customHeight="1">
      <c r="A202" s="149"/>
      <c r="B202" s="168"/>
      <c r="C202" s="149"/>
      <c r="D202" s="149"/>
      <c r="E202" s="168"/>
      <c r="F202" s="149"/>
      <c r="G202" s="149"/>
      <c r="H202" s="149"/>
      <c r="I202" s="149"/>
      <c r="J202" s="149"/>
      <c r="K202" s="149"/>
      <c r="L202" s="149"/>
      <c r="M202" s="149"/>
      <c r="N202" s="149"/>
      <c r="O202" s="149"/>
      <c r="P202" s="149"/>
      <c r="Q202" s="149"/>
      <c r="R202" s="149"/>
      <c r="S202" s="149"/>
      <c r="T202" s="149"/>
      <c r="U202" s="149"/>
      <c r="V202" s="149"/>
      <c r="W202" s="149"/>
      <c r="X202" s="149"/>
      <c r="Y202" s="149"/>
      <c r="Z202" s="149"/>
    </row>
    <row r="203" ht="14.25" customHeight="1">
      <c r="A203" s="149"/>
      <c r="B203" s="168"/>
      <c r="C203" s="149"/>
      <c r="D203" s="149"/>
      <c r="E203" s="168"/>
      <c r="F203" s="149"/>
      <c r="G203" s="149"/>
      <c r="H203" s="149"/>
      <c r="I203" s="149"/>
      <c r="J203" s="149"/>
      <c r="K203" s="149"/>
      <c r="L203" s="149"/>
      <c r="M203" s="149"/>
      <c r="N203" s="149"/>
      <c r="O203" s="149"/>
      <c r="P203" s="149"/>
      <c r="Q203" s="149"/>
      <c r="R203" s="149"/>
      <c r="S203" s="149"/>
      <c r="T203" s="149"/>
      <c r="U203" s="149"/>
      <c r="V203" s="149"/>
      <c r="W203" s="149"/>
      <c r="X203" s="149"/>
      <c r="Y203" s="149"/>
      <c r="Z203" s="149"/>
    </row>
    <row r="204" ht="14.25" customHeight="1">
      <c r="A204" s="149"/>
      <c r="B204" s="168"/>
      <c r="C204" s="149"/>
      <c r="D204" s="149"/>
      <c r="E204" s="168"/>
      <c r="F204" s="149"/>
      <c r="G204" s="149"/>
      <c r="H204" s="149"/>
      <c r="I204" s="149"/>
      <c r="J204" s="149"/>
      <c r="K204" s="149"/>
      <c r="L204" s="149"/>
      <c r="M204" s="149"/>
      <c r="N204" s="149"/>
      <c r="O204" s="149"/>
      <c r="P204" s="149"/>
      <c r="Q204" s="149"/>
      <c r="R204" s="149"/>
      <c r="S204" s="149"/>
      <c r="T204" s="149"/>
      <c r="U204" s="149"/>
      <c r="V204" s="149"/>
      <c r="W204" s="149"/>
      <c r="X204" s="149"/>
      <c r="Y204" s="149"/>
      <c r="Z204" s="149"/>
    </row>
    <row r="205" ht="14.25" customHeight="1">
      <c r="A205" s="149"/>
      <c r="B205" s="168"/>
      <c r="C205" s="149"/>
      <c r="D205" s="149"/>
      <c r="E205" s="168"/>
      <c r="F205" s="149"/>
      <c r="G205" s="149"/>
      <c r="H205" s="149"/>
      <c r="I205" s="149"/>
      <c r="J205" s="149"/>
      <c r="K205" s="149"/>
      <c r="L205" s="149"/>
      <c r="M205" s="149"/>
      <c r="N205" s="149"/>
      <c r="O205" s="149"/>
      <c r="P205" s="149"/>
      <c r="Q205" s="149"/>
      <c r="R205" s="149"/>
      <c r="S205" s="149"/>
      <c r="T205" s="149"/>
      <c r="U205" s="149"/>
      <c r="V205" s="149"/>
      <c r="W205" s="149"/>
      <c r="X205" s="149"/>
      <c r="Y205" s="149"/>
      <c r="Z205" s="149"/>
    </row>
    <row r="206" ht="14.25" customHeight="1">
      <c r="A206" s="149"/>
      <c r="B206" s="168"/>
      <c r="C206" s="149"/>
      <c r="D206" s="149"/>
      <c r="E206" s="168"/>
      <c r="F206" s="149"/>
      <c r="G206" s="149"/>
      <c r="H206" s="149"/>
      <c r="I206" s="149"/>
      <c r="J206" s="149"/>
      <c r="K206" s="149"/>
      <c r="L206" s="149"/>
      <c r="M206" s="149"/>
      <c r="N206" s="149"/>
      <c r="O206" s="149"/>
      <c r="P206" s="149"/>
      <c r="Q206" s="149"/>
      <c r="R206" s="149"/>
      <c r="S206" s="149"/>
      <c r="T206" s="149"/>
      <c r="U206" s="149"/>
      <c r="V206" s="149"/>
      <c r="W206" s="149"/>
      <c r="X206" s="149"/>
      <c r="Y206" s="149"/>
      <c r="Z206" s="149"/>
    </row>
    <row r="207" ht="14.25" customHeight="1">
      <c r="A207" s="149"/>
      <c r="B207" s="168"/>
      <c r="C207" s="149"/>
      <c r="D207" s="149"/>
      <c r="E207" s="168"/>
      <c r="F207" s="149"/>
      <c r="G207" s="149"/>
      <c r="H207" s="149"/>
      <c r="I207" s="149"/>
      <c r="J207" s="149"/>
      <c r="K207" s="149"/>
      <c r="L207" s="149"/>
      <c r="M207" s="149"/>
      <c r="N207" s="149"/>
      <c r="O207" s="149"/>
      <c r="P207" s="149"/>
      <c r="Q207" s="149"/>
      <c r="R207" s="149"/>
      <c r="S207" s="149"/>
      <c r="T207" s="149"/>
      <c r="U207" s="149"/>
      <c r="V207" s="149"/>
      <c r="W207" s="149"/>
      <c r="X207" s="149"/>
      <c r="Y207" s="149"/>
      <c r="Z207" s="149"/>
    </row>
    <row r="208" ht="14.25" customHeight="1">
      <c r="A208" s="149"/>
      <c r="B208" s="168"/>
      <c r="C208" s="149"/>
      <c r="D208" s="149"/>
      <c r="E208" s="168"/>
      <c r="F208" s="149"/>
      <c r="G208" s="149"/>
      <c r="H208" s="149"/>
      <c r="I208" s="149"/>
      <c r="J208" s="149"/>
      <c r="K208" s="149"/>
      <c r="L208" s="149"/>
      <c r="M208" s="149"/>
      <c r="N208" s="149"/>
      <c r="O208" s="149"/>
      <c r="P208" s="149"/>
      <c r="Q208" s="149"/>
      <c r="R208" s="149"/>
      <c r="S208" s="149"/>
      <c r="T208" s="149"/>
      <c r="U208" s="149"/>
      <c r="V208" s="149"/>
      <c r="W208" s="149"/>
      <c r="X208" s="149"/>
      <c r="Y208" s="149"/>
      <c r="Z208" s="149"/>
    </row>
    <row r="209" ht="14.25" customHeight="1">
      <c r="A209" s="149"/>
      <c r="B209" s="168"/>
      <c r="C209" s="149"/>
      <c r="D209" s="149"/>
      <c r="E209" s="168"/>
      <c r="F209" s="149"/>
      <c r="G209" s="149"/>
      <c r="H209" s="149"/>
      <c r="I209" s="149"/>
      <c r="J209" s="149"/>
      <c r="K209" s="149"/>
      <c r="L209" s="149"/>
      <c r="M209" s="149"/>
      <c r="N209" s="149"/>
      <c r="O209" s="149"/>
      <c r="P209" s="149"/>
      <c r="Q209" s="149"/>
      <c r="R209" s="149"/>
      <c r="S209" s="149"/>
      <c r="T209" s="149"/>
      <c r="U209" s="149"/>
      <c r="V209" s="149"/>
      <c r="W209" s="149"/>
      <c r="X209" s="149"/>
      <c r="Y209" s="149"/>
      <c r="Z209" s="149"/>
    </row>
    <row r="210" ht="14.25" customHeight="1">
      <c r="A210" s="149"/>
      <c r="B210" s="168"/>
      <c r="C210" s="149"/>
      <c r="D210" s="149"/>
      <c r="E210" s="168"/>
      <c r="F210" s="149"/>
      <c r="G210" s="149"/>
      <c r="H210" s="149"/>
      <c r="I210" s="149"/>
      <c r="J210" s="149"/>
      <c r="K210" s="149"/>
      <c r="L210" s="149"/>
      <c r="M210" s="149"/>
      <c r="N210" s="149"/>
      <c r="O210" s="149"/>
      <c r="P210" s="149"/>
      <c r="Q210" s="149"/>
      <c r="R210" s="149"/>
      <c r="S210" s="149"/>
      <c r="T210" s="149"/>
      <c r="U210" s="149"/>
      <c r="V210" s="149"/>
      <c r="W210" s="149"/>
      <c r="X210" s="149"/>
      <c r="Y210" s="149"/>
      <c r="Z210" s="149"/>
    </row>
    <row r="211" ht="14.25" customHeight="1">
      <c r="A211" s="149"/>
      <c r="B211" s="168"/>
      <c r="C211" s="149"/>
      <c r="D211" s="149"/>
      <c r="E211" s="168"/>
      <c r="F211" s="149"/>
      <c r="G211" s="149"/>
      <c r="H211" s="149"/>
      <c r="I211" s="149"/>
      <c r="J211" s="149"/>
      <c r="K211" s="149"/>
      <c r="L211" s="149"/>
      <c r="M211" s="149"/>
      <c r="N211" s="149"/>
      <c r="O211" s="149"/>
      <c r="P211" s="149"/>
      <c r="Q211" s="149"/>
      <c r="R211" s="149"/>
      <c r="S211" s="149"/>
      <c r="T211" s="149"/>
      <c r="U211" s="149"/>
      <c r="V211" s="149"/>
      <c r="W211" s="149"/>
      <c r="X211" s="149"/>
      <c r="Y211" s="149"/>
      <c r="Z211" s="149"/>
    </row>
    <row r="212" ht="14.25" customHeight="1">
      <c r="A212" s="149"/>
      <c r="B212" s="168"/>
      <c r="C212" s="149"/>
      <c r="D212" s="149"/>
      <c r="E212" s="168"/>
      <c r="F212" s="149"/>
      <c r="G212" s="149"/>
      <c r="H212" s="149"/>
      <c r="I212" s="149"/>
      <c r="J212" s="149"/>
      <c r="K212" s="149"/>
      <c r="L212" s="149"/>
      <c r="M212" s="149"/>
      <c r="N212" s="149"/>
      <c r="O212" s="149"/>
      <c r="P212" s="149"/>
      <c r="Q212" s="149"/>
      <c r="R212" s="149"/>
      <c r="S212" s="149"/>
      <c r="T212" s="149"/>
      <c r="U212" s="149"/>
      <c r="V212" s="149"/>
      <c r="W212" s="149"/>
      <c r="X212" s="149"/>
      <c r="Y212" s="149"/>
      <c r="Z212" s="149"/>
    </row>
    <row r="213" ht="14.25" customHeight="1">
      <c r="A213" s="149"/>
      <c r="B213" s="168"/>
      <c r="C213" s="149"/>
      <c r="D213" s="149"/>
      <c r="E213" s="168"/>
      <c r="F213" s="149"/>
      <c r="G213" s="149"/>
      <c r="H213" s="149"/>
      <c r="I213" s="149"/>
      <c r="J213" s="149"/>
      <c r="K213" s="149"/>
      <c r="L213" s="149"/>
      <c r="M213" s="149"/>
      <c r="N213" s="149"/>
      <c r="O213" s="149"/>
      <c r="P213" s="149"/>
      <c r="Q213" s="149"/>
      <c r="R213" s="149"/>
      <c r="S213" s="149"/>
      <c r="T213" s="149"/>
      <c r="U213" s="149"/>
      <c r="V213" s="149"/>
      <c r="W213" s="149"/>
      <c r="X213" s="149"/>
      <c r="Y213" s="149"/>
      <c r="Z213" s="149"/>
    </row>
    <row r="214" ht="14.25" customHeight="1">
      <c r="A214" s="149"/>
      <c r="B214" s="168"/>
      <c r="C214" s="149"/>
      <c r="D214" s="149"/>
      <c r="E214" s="168"/>
      <c r="F214" s="149"/>
      <c r="G214" s="149"/>
      <c r="H214" s="149"/>
      <c r="I214" s="149"/>
      <c r="J214" s="149"/>
      <c r="K214" s="149"/>
      <c r="L214" s="149"/>
      <c r="M214" s="149"/>
      <c r="N214" s="149"/>
      <c r="O214" s="149"/>
      <c r="P214" s="149"/>
      <c r="Q214" s="149"/>
      <c r="R214" s="149"/>
      <c r="S214" s="149"/>
      <c r="T214" s="149"/>
      <c r="U214" s="149"/>
      <c r="V214" s="149"/>
      <c r="W214" s="149"/>
      <c r="X214" s="149"/>
      <c r="Y214" s="149"/>
      <c r="Z214" s="149"/>
    </row>
    <row r="215" ht="14.25" customHeight="1">
      <c r="A215" s="149"/>
      <c r="B215" s="168"/>
      <c r="C215" s="149"/>
      <c r="D215" s="149"/>
      <c r="E215" s="168"/>
      <c r="F215" s="149"/>
      <c r="G215" s="149"/>
      <c r="H215" s="149"/>
      <c r="I215" s="149"/>
      <c r="J215" s="149"/>
      <c r="K215" s="149"/>
      <c r="L215" s="149"/>
      <c r="M215" s="149"/>
      <c r="N215" s="149"/>
      <c r="O215" s="149"/>
      <c r="P215" s="149"/>
      <c r="Q215" s="149"/>
      <c r="R215" s="149"/>
      <c r="S215" s="149"/>
      <c r="T215" s="149"/>
      <c r="U215" s="149"/>
      <c r="V215" s="149"/>
      <c r="W215" s="149"/>
      <c r="X215" s="149"/>
      <c r="Y215" s="149"/>
      <c r="Z215" s="149"/>
    </row>
    <row r="216" ht="14.25" customHeight="1">
      <c r="A216" s="149"/>
      <c r="B216" s="168"/>
      <c r="C216" s="149"/>
      <c r="D216" s="149"/>
      <c r="E216" s="168"/>
      <c r="F216" s="149"/>
      <c r="G216" s="149"/>
      <c r="H216" s="149"/>
      <c r="I216" s="149"/>
      <c r="J216" s="149"/>
      <c r="K216" s="149"/>
      <c r="L216" s="149"/>
      <c r="M216" s="149"/>
      <c r="N216" s="149"/>
      <c r="O216" s="149"/>
      <c r="P216" s="149"/>
      <c r="Q216" s="149"/>
      <c r="R216" s="149"/>
      <c r="S216" s="149"/>
      <c r="T216" s="149"/>
      <c r="U216" s="149"/>
      <c r="V216" s="149"/>
      <c r="W216" s="149"/>
      <c r="X216" s="149"/>
      <c r="Y216" s="149"/>
      <c r="Z216" s="149"/>
    </row>
    <row r="217" ht="14.25" customHeight="1">
      <c r="A217" s="149"/>
      <c r="B217" s="168"/>
      <c r="C217" s="149"/>
      <c r="D217" s="149"/>
      <c r="E217" s="168"/>
      <c r="F217" s="149"/>
      <c r="G217" s="149"/>
      <c r="H217" s="149"/>
      <c r="I217" s="149"/>
      <c r="J217" s="149"/>
      <c r="K217" s="149"/>
      <c r="L217" s="149"/>
      <c r="M217" s="149"/>
      <c r="N217" s="149"/>
      <c r="O217" s="149"/>
      <c r="P217" s="149"/>
      <c r="Q217" s="149"/>
      <c r="R217" s="149"/>
      <c r="S217" s="149"/>
      <c r="T217" s="149"/>
      <c r="U217" s="149"/>
      <c r="V217" s="149"/>
      <c r="W217" s="149"/>
      <c r="X217" s="149"/>
      <c r="Y217" s="149"/>
      <c r="Z217" s="149"/>
    </row>
    <row r="218" ht="14.25" customHeight="1">
      <c r="A218" s="149"/>
      <c r="B218" s="168"/>
      <c r="C218" s="149"/>
      <c r="D218" s="149"/>
      <c r="E218" s="168"/>
      <c r="F218" s="149"/>
      <c r="G218" s="149"/>
      <c r="H218" s="149"/>
      <c r="I218" s="149"/>
      <c r="J218" s="149"/>
      <c r="K218" s="149"/>
      <c r="L218" s="149"/>
      <c r="M218" s="149"/>
      <c r="N218" s="149"/>
      <c r="O218" s="149"/>
      <c r="P218" s="149"/>
      <c r="Q218" s="149"/>
      <c r="R218" s="149"/>
      <c r="S218" s="149"/>
      <c r="T218" s="149"/>
      <c r="U218" s="149"/>
      <c r="V218" s="149"/>
      <c r="W218" s="149"/>
      <c r="X218" s="149"/>
      <c r="Y218" s="149"/>
      <c r="Z218" s="149"/>
    </row>
    <row r="219" ht="14.25" customHeight="1">
      <c r="A219" s="149"/>
      <c r="B219" s="168"/>
      <c r="C219" s="149"/>
      <c r="D219" s="149"/>
      <c r="E219" s="168"/>
      <c r="F219" s="149"/>
      <c r="G219" s="149"/>
      <c r="H219" s="149"/>
      <c r="I219" s="149"/>
      <c r="J219" s="149"/>
      <c r="K219" s="149"/>
      <c r="L219" s="149"/>
      <c r="M219" s="149"/>
      <c r="N219" s="149"/>
      <c r="O219" s="149"/>
      <c r="P219" s="149"/>
      <c r="Q219" s="149"/>
      <c r="R219" s="149"/>
      <c r="S219" s="149"/>
      <c r="T219" s="149"/>
      <c r="U219" s="149"/>
      <c r="V219" s="149"/>
      <c r="W219" s="149"/>
      <c r="X219" s="149"/>
      <c r="Y219" s="149"/>
      <c r="Z219" s="149"/>
    </row>
    <row r="220" ht="14.25" customHeight="1">
      <c r="A220" s="149"/>
      <c r="B220" s="168"/>
      <c r="C220" s="149"/>
      <c r="D220" s="149"/>
      <c r="E220" s="168"/>
      <c r="F220" s="149"/>
      <c r="G220" s="149"/>
      <c r="H220" s="149"/>
      <c r="I220" s="149"/>
      <c r="J220" s="149"/>
      <c r="K220" s="149"/>
      <c r="L220" s="149"/>
      <c r="M220" s="149"/>
      <c r="N220" s="149"/>
      <c r="O220" s="149"/>
      <c r="P220" s="149"/>
      <c r="Q220" s="149"/>
      <c r="R220" s="149"/>
      <c r="S220" s="149"/>
      <c r="T220" s="149"/>
      <c r="U220" s="149"/>
      <c r="V220" s="149"/>
      <c r="W220" s="149"/>
      <c r="X220" s="149"/>
      <c r="Y220" s="149"/>
      <c r="Z220" s="149"/>
    </row>
    <row r="221" ht="14.25" customHeight="1">
      <c r="A221" s="149"/>
      <c r="B221" s="168"/>
      <c r="C221" s="149"/>
      <c r="D221" s="149"/>
      <c r="E221" s="168"/>
      <c r="F221" s="149"/>
      <c r="G221" s="149"/>
      <c r="H221" s="149"/>
      <c r="I221" s="149"/>
      <c r="J221" s="149"/>
      <c r="K221" s="149"/>
      <c r="L221" s="149"/>
      <c r="M221" s="149"/>
      <c r="N221" s="149"/>
      <c r="O221" s="149"/>
      <c r="P221" s="149"/>
      <c r="Q221" s="149"/>
      <c r="R221" s="149"/>
      <c r="S221" s="149"/>
      <c r="T221" s="149"/>
      <c r="U221" s="149"/>
      <c r="V221" s="149"/>
      <c r="W221" s="149"/>
      <c r="X221" s="149"/>
      <c r="Y221" s="149"/>
      <c r="Z221" s="149"/>
    </row>
    <row r="222" ht="14.25" customHeight="1">
      <c r="A222" s="149"/>
      <c r="B222" s="168"/>
      <c r="C222" s="149"/>
      <c r="D222" s="149"/>
      <c r="E222" s="168"/>
      <c r="F222" s="149"/>
      <c r="G222" s="149"/>
      <c r="H222" s="149"/>
      <c r="I222" s="149"/>
      <c r="J222" s="149"/>
      <c r="K222" s="149"/>
      <c r="L222" s="149"/>
      <c r="M222" s="149"/>
      <c r="N222" s="149"/>
      <c r="O222" s="149"/>
      <c r="P222" s="149"/>
      <c r="Q222" s="149"/>
      <c r="R222" s="149"/>
      <c r="S222" s="149"/>
      <c r="T222" s="149"/>
      <c r="U222" s="149"/>
      <c r="V222" s="149"/>
      <c r="W222" s="149"/>
      <c r="X222" s="149"/>
      <c r="Y222" s="149"/>
      <c r="Z222" s="149"/>
    </row>
    <row r="223" ht="14.25" customHeight="1">
      <c r="A223" s="149"/>
      <c r="B223" s="168"/>
      <c r="C223" s="149"/>
      <c r="D223" s="149"/>
      <c r="E223" s="168"/>
      <c r="F223" s="149"/>
      <c r="G223" s="149"/>
      <c r="H223" s="149"/>
      <c r="I223" s="149"/>
      <c r="J223" s="149"/>
      <c r="K223" s="149"/>
      <c r="L223" s="149"/>
      <c r="M223" s="149"/>
      <c r="N223" s="149"/>
      <c r="O223" s="149"/>
      <c r="P223" s="149"/>
      <c r="Q223" s="149"/>
      <c r="R223" s="149"/>
      <c r="S223" s="149"/>
      <c r="T223" s="149"/>
      <c r="U223" s="149"/>
      <c r="V223" s="149"/>
      <c r="W223" s="149"/>
      <c r="X223" s="149"/>
      <c r="Y223" s="149"/>
      <c r="Z223" s="149"/>
    </row>
    <row r="224" ht="14.25" customHeight="1">
      <c r="A224" s="149"/>
      <c r="B224" s="168"/>
      <c r="C224" s="149"/>
      <c r="D224" s="149"/>
      <c r="E224" s="168"/>
      <c r="F224" s="149"/>
      <c r="G224" s="149"/>
      <c r="H224" s="149"/>
      <c r="I224" s="149"/>
      <c r="J224" s="149"/>
      <c r="K224" s="149"/>
      <c r="L224" s="149"/>
      <c r="M224" s="149"/>
      <c r="N224" s="149"/>
      <c r="O224" s="149"/>
      <c r="P224" s="149"/>
      <c r="Q224" s="149"/>
      <c r="R224" s="149"/>
      <c r="S224" s="149"/>
      <c r="T224" s="149"/>
      <c r="U224" s="149"/>
      <c r="V224" s="149"/>
      <c r="W224" s="149"/>
      <c r="X224" s="149"/>
      <c r="Y224" s="149"/>
      <c r="Z224" s="149"/>
    </row>
    <row r="225" ht="14.25" customHeight="1">
      <c r="A225" s="149"/>
      <c r="B225" s="168"/>
      <c r="C225" s="149"/>
      <c r="D225" s="149"/>
      <c r="E225" s="168"/>
      <c r="F225" s="149"/>
      <c r="G225" s="149"/>
      <c r="H225" s="149"/>
      <c r="I225" s="149"/>
      <c r="J225" s="149"/>
      <c r="K225" s="149"/>
      <c r="L225" s="149"/>
      <c r="M225" s="149"/>
      <c r="N225" s="149"/>
      <c r="O225" s="149"/>
      <c r="P225" s="149"/>
      <c r="Q225" s="149"/>
      <c r="R225" s="149"/>
      <c r="S225" s="149"/>
      <c r="T225" s="149"/>
      <c r="U225" s="149"/>
      <c r="V225" s="149"/>
      <c r="W225" s="149"/>
      <c r="X225" s="149"/>
      <c r="Y225" s="149"/>
      <c r="Z225" s="149"/>
    </row>
    <row r="226" ht="14.25" customHeight="1">
      <c r="A226" s="149"/>
      <c r="B226" s="168"/>
      <c r="C226" s="149"/>
      <c r="D226" s="149"/>
      <c r="E226" s="168"/>
      <c r="F226" s="149"/>
      <c r="G226" s="149"/>
      <c r="H226" s="149"/>
      <c r="I226" s="149"/>
      <c r="J226" s="149"/>
      <c r="K226" s="149"/>
      <c r="L226" s="149"/>
      <c r="M226" s="149"/>
      <c r="N226" s="149"/>
      <c r="O226" s="149"/>
      <c r="P226" s="149"/>
      <c r="Q226" s="149"/>
      <c r="R226" s="149"/>
      <c r="S226" s="149"/>
      <c r="T226" s="149"/>
      <c r="U226" s="149"/>
      <c r="V226" s="149"/>
      <c r="W226" s="149"/>
      <c r="X226" s="149"/>
      <c r="Y226" s="149"/>
      <c r="Z226" s="149"/>
    </row>
    <row r="227" ht="14.25" customHeight="1">
      <c r="A227" s="149"/>
      <c r="B227" s="168"/>
      <c r="C227" s="149"/>
      <c r="D227" s="149"/>
      <c r="E227" s="168"/>
      <c r="F227" s="149"/>
      <c r="G227" s="149"/>
      <c r="H227" s="149"/>
      <c r="I227" s="149"/>
      <c r="J227" s="149"/>
      <c r="K227" s="149"/>
      <c r="L227" s="149"/>
      <c r="M227" s="149"/>
      <c r="N227" s="149"/>
      <c r="O227" s="149"/>
      <c r="P227" s="149"/>
      <c r="Q227" s="149"/>
      <c r="R227" s="149"/>
      <c r="S227" s="149"/>
      <c r="T227" s="149"/>
      <c r="U227" s="149"/>
      <c r="V227" s="149"/>
      <c r="W227" s="149"/>
      <c r="X227" s="149"/>
      <c r="Y227" s="149"/>
      <c r="Z227" s="149"/>
    </row>
    <row r="228" ht="14.25" customHeight="1">
      <c r="A228" s="149"/>
      <c r="B228" s="168"/>
      <c r="C228" s="149"/>
      <c r="D228" s="149"/>
      <c r="E228" s="168"/>
      <c r="F228" s="149"/>
      <c r="G228" s="149"/>
      <c r="H228" s="149"/>
      <c r="I228" s="149"/>
      <c r="J228" s="149"/>
      <c r="K228" s="149"/>
      <c r="L228" s="149"/>
      <c r="M228" s="149"/>
      <c r="N228" s="149"/>
      <c r="O228" s="149"/>
      <c r="P228" s="149"/>
      <c r="Q228" s="149"/>
      <c r="R228" s="149"/>
      <c r="S228" s="149"/>
      <c r="T228" s="149"/>
      <c r="U228" s="149"/>
      <c r="V228" s="149"/>
      <c r="W228" s="149"/>
      <c r="X228" s="149"/>
      <c r="Y228" s="149"/>
      <c r="Z228" s="149"/>
    </row>
    <row r="229" ht="14.25" customHeight="1">
      <c r="A229" s="149"/>
      <c r="B229" s="168"/>
      <c r="C229" s="149"/>
      <c r="D229" s="149"/>
      <c r="E229" s="168"/>
      <c r="F229" s="149"/>
      <c r="G229" s="149"/>
      <c r="H229" s="149"/>
      <c r="I229" s="149"/>
      <c r="J229" s="149"/>
      <c r="K229" s="149"/>
      <c r="L229" s="149"/>
      <c r="M229" s="149"/>
      <c r="N229" s="149"/>
      <c r="O229" s="149"/>
      <c r="P229" s="149"/>
      <c r="Q229" s="149"/>
      <c r="R229" s="149"/>
      <c r="S229" s="149"/>
      <c r="T229" s="149"/>
      <c r="U229" s="149"/>
      <c r="V229" s="149"/>
      <c r="W229" s="149"/>
      <c r="X229" s="149"/>
      <c r="Y229" s="149"/>
      <c r="Z229" s="149"/>
    </row>
    <row r="230" ht="14.25" customHeight="1">
      <c r="A230" s="149"/>
      <c r="B230" s="168"/>
      <c r="C230" s="149"/>
      <c r="D230" s="149"/>
      <c r="E230" s="168"/>
      <c r="F230" s="149"/>
      <c r="G230" s="149"/>
      <c r="H230" s="149"/>
      <c r="I230" s="149"/>
      <c r="J230" s="149"/>
      <c r="K230" s="149"/>
      <c r="L230" s="149"/>
      <c r="M230" s="149"/>
      <c r="N230" s="149"/>
      <c r="O230" s="149"/>
      <c r="P230" s="149"/>
      <c r="Q230" s="149"/>
      <c r="R230" s="149"/>
      <c r="S230" s="149"/>
      <c r="T230" s="149"/>
      <c r="U230" s="149"/>
      <c r="V230" s="149"/>
      <c r="W230" s="149"/>
      <c r="X230" s="149"/>
      <c r="Y230" s="149"/>
      <c r="Z230" s="149"/>
    </row>
    <row r="231" ht="14.25" customHeight="1">
      <c r="A231" s="149"/>
      <c r="B231" s="168"/>
      <c r="C231" s="149"/>
      <c r="D231" s="149"/>
      <c r="E231" s="168"/>
      <c r="F231" s="149"/>
      <c r="G231" s="149"/>
      <c r="H231" s="149"/>
      <c r="I231" s="149"/>
      <c r="J231" s="149"/>
      <c r="K231" s="149"/>
      <c r="L231" s="149"/>
      <c r="M231" s="149"/>
      <c r="N231" s="149"/>
      <c r="O231" s="149"/>
      <c r="P231" s="149"/>
      <c r="Q231" s="149"/>
      <c r="R231" s="149"/>
      <c r="S231" s="149"/>
      <c r="T231" s="149"/>
      <c r="U231" s="149"/>
      <c r="V231" s="149"/>
      <c r="W231" s="149"/>
      <c r="X231" s="149"/>
      <c r="Y231" s="149"/>
      <c r="Z231" s="149"/>
    </row>
    <row r="232" ht="14.25" customHeight="1">
      <c r="A232" s="149"/>
      <c r="B232" s="168"/>
      <c r="C232" s="149"/>
      <c r="D232" s="149"/>
      <c r="E232" s="168"/>
      <c r="F232" s="149"/>
      <c r="G232" s="149"/>
      <c r="H232" s="149"/>
      <c r="I232" s="149"/>
      <c r="J232" s="149"/>
      <c r="K232" s="149"/>
      <c r="L232" s="149"/>
      <c r="M232" s="149"/>
      <c r="N232" s="149"/>
      <c r="O232" s="149"/>
      <c r="P232" s="149"/>
      <c r="Q232" s="149"/>
      <c r="R232" s="149"/>
      <c r="S232" s="149"/>
      <c r="T232" s="149"/>
      <c r="U232" s="149"/>
      <c r="V232" s="149"/>
      <c r="W232" s="149"/>
      <c r="X232" s="149"/>
      <c r="Y232" s="149"/>
      <c r="Z232" s="149"/>
    </row>
    <row r="233" ht="14.25" customHeight="1">
      <c r="A233" s="149"/>
      <c r="B233" s="168"/>
      <c r="C233" s="149"/>
      <c r="D233" s="149"/>
      <c r="E233" s="168"/>
      <c r="F233" s="149"/>
      <c r="G233" s="149"/>
      <c r="H233" s="149"/>
      <c r="I233" s="149"/>
      <c r="J233" s="149"/>
      <c r="K233" s="149"/>
      <c r="L233" s="149"/>
      <c r="M233" s="149"/>
      <c r="N233" s="149"/>
      <c r="O233" s="149"/>
      <c r="P233" s="149"/>
      <c r="Q233" s="149"/>
      <c r="R233" s="149"/>
      <c r="S233" s="149"/>
      <c r="T233" s="149"/>
      <c r="U233" s="149"/>
      <c r="V233" s="149"/>
      <c r="W233" s="149"/>
      <c r="X233" s="149"/>
      <c r="Y233" s="149"/>
      <c r="Z233" s="149"/>
    </row>
    <row r="234" ht="14.25" customHeight="1">
      <c r="A234" s="149"/>
      <c r="B234" s="168"/>
      <c r="C234" s="149"/>
      <c r="D234" s="149"/>
      <c r="E234" s="168"/>
      <c r="F234" s="149"/>
      <c r="G234" s="149"/>
      <c r="H234" s="149"/>
      <c r="I234" s="149"/>
      <c r="J234" s="149"/>
      <c r="K234" s="149"/>
      <c r="L234" s="149"/>
      <c r="M234" s="149"/>
      <c r="N234" s="149"/>
      <c r="O234" s="149"/>
      <c r="P234" s="149"/>
      <c r="Q234" s="149"/>
      <c r="R234" s="149"/>
      <c r="S234" s="149"/>
      <c r="T234" s="149"/>
      <c r="U234" s="149"/>
      <c r="V234" s="149"/>
      <c r="W234" s="149"/>
      <c r="X234" s="149"/>
      <c r="Y234" s="149"/>
      <c r="Z234" s="149"/>
    </row>
    <row r="235" ht="14.25" customHeight="1">
      <c r="A235" s="149"/>
      <c r="B235" s="168"/>
      <c r="C235" s="149"/>
      <c r="D235" s="149"/>
      <c r="E235" s="168"/>
      <c r="F235" s="149"/>
      <c r="G235" s="149"/>
      <c r="H235" s="149"/>
      <c r="I235" s="149"/>
      <c r="J235" s="149"/>
      <c r="K235" s="149"/>
      <c r="L235" s="149"/>
      <c r="M235" s="149"/>
      <c r="N235" s="149"/>
      <c r="O235" s="149"/>
      <c r="P235" s="149"/>
      <c r="Q235" s="149"/>
      <c r="R235" s="149"/>
      <c r="S235" s="149"/>
      <c r="T235" s="149"/>
      <c r="U235" s="149"/>
      <c r="V235" s="149"/>
      <c r="W235" s="149"/>
      <c r="X235" s="149"/>
      <c r="Y235" s="149"/>
      <c r="Z235" s="149"/>
    </row>
    <row r="236" ht="14.25" customHeight="1">
      <c r="A236" s="149"/>
      <c r="B236" s="168"/>
      <c r="C236" s="149"/>
      <c r="D236" s="149"/>
      <c r="E236" s="168"/>
      <c r="F236" s="149"/>
      <c r="G236" s="149"/>
      <c r="H236" s="149"/>
      <c r="I236" s="149"/>
      <c r="J236" s="149"/>
      <c r="K236" s="149"/>
      <c r="L236" s="149"/>
      <c r="M236" s="149"/>
      <c r="N236" s="149"/>
      <c r="O236" s="149"/>
      <c r="P236" s="149"/>
      <c r="Q236" s="149"/>
      <c r="R236" s="149"/>
      <c r="S236" s="149"/>
      <c r="T236" s="149"/>
      <c r="U236" s="149"/>
      <c r="V236" s="149"/>
      <c r="W236" s="149"/>
      <c r="X236" s="149"/>
      <c r="Y236" s="149"/>
      <c r="Z236" s="149"/>
    </row>
    <row r="237" ht="14.25" customHeight="1">
      <c r="A237" s="149"/>
      <c r="B237" s="168"/>
      <c r="C237" s="149"/>
      <c r="D237" s="149"/>
      <c r="E237" s="168"/>
      <c r="F237" s="149"/>
      <c r="G237" s="149"/>
      <c r="H237" s="149"/>
      <c r="I237" s="149"/>
      <c r="J237" s="149"/>
      <c r="K237" s="149"/>
      <c r="L237" s="149"/>
      <c r="M237" s="149"/>
      <c r="N237" s="149"/>
      <c r="O237" s="149"/>
      <c r="P237" s="149"/>
      <c r="Q237" s="149"/>
      <c r="R237" s="149"/>
      <c r="S237" s="149"/>
      <c r="T237" s="149"/>
      <c r="U237" s="149"/>
      <c r="V237" s="149"/>
      <c r="W237" s="149"/>
      <c r="X237" s="149"/>
      <c r="Y237" s="149"/>
      <c r="Z237" s="149"/>
    </row>
    <row r="238" ht="14.25" customHeight="1">
      <c r="A238" s="149"/>
      <c r="B238" s="168"/>
      <c r="C238" s="149"/>
      <c r="D238" s="149"/>
      <c r="E238" s="168"/>
      <c r="F238" s="149"/>
      <c r="G238" s="149"/>
      <c r="H238" s="149"/>
      <c r="I238" s="149"/>
      <c r="J238" s="149"/>
      <c r="K238" s="149"/>
      <c r="L238" s="149"/>
      <c r="M238" s="149"/>
      <c r="N238" s="149"/>
      <c r="O238" s="149"/>
      <c r="P238" s="149"/>
      <c r="Q238" s="149"/>
      <c r="R238" s="149"/>
      <c r="S238" s="149"/>
      <c r="T238" s="149"/>
      <c r="U238" s="149"/>
      <c r="V238" s="149"/>
      <c r="W238" s="149"/>
      <c r="X238" s="149"/>
      <c r="Y238" s="149"/>
      <c r="Z238" s="149"/>
    </row>
    <row r="239" ht="14.25" customHeight="1">
      <c r="A239" s="149"/>
      <c r="B239" s="168"/>
      <c r="C239" s="149"/>
      <c r="D239" s="149"/>
      <c r="E239" s="168"/>
      <c r="F239" s="149"/>
      <c r="G239" s="149"/>
      <c r="H239" s="149"/>
      <c r="I239" s="149"/>
      <c r="J239" s="149"/>
      <c r="K239" s="149"/>
      <c r="L239" s="149"/>
      <c r="M239" s="149"/>
      <c r="N239" s="149"/>
      <c r="O239" s="149"/>
      <c r="P239" s="149"/>
      <c r="Q239" s="149"/>
      <c r="R239" s="149"/>
      <c r="S239" s="149"/>
      <c r="T239" s="149"/>
      <c r="U239" s="149"/>
      <c r="V239" s="149"/>
      <c r="W239" s="149"/>
      <c r="X239" s="149"/>
      <c r="Y239" s="149"/>
      <c r="Z239" s="149"/>
    </row>
    <row r="240" ht="14.25" customHeight="1">
      <c r="A240" s="149"/>
      <c r="B240" s="168"/>
      <c r="C240" s="149"/>
      <c r="D240" s="149"/>
      <c r="E240" s="168"/>
      <c r="F240" s="149"/>
      <c r="G240" s="149"/>
      <c r="H240" s="149"/>
      <c r="I240" s="149"/>
      <c r="J240" s="149"/>
      <c r="K240" s="149"/>
      <c r="L240" s="149"/>
      <c r="M240" s="149"/>
      <c r="N240" s="149"/>
      <c r="O240" s="149"/>
      <c r="P240" s="149"/>
      <c r="Q240" s="149"/>
      <c r="R240" s="149"/>
      <c r="S240" s="149"/>
      <c r="T240" s="149"/>
      <c r="U240" s="149"/>
      <c r="V240" s="149"/>
      <c r="W240" s="149"/>
      <c r="X240" s="149"/>
      <c r="Y240" s="149"/>
      <c r="Z240" s="149"/>
    </row>
    <row r="241" ht="14.25" customHeight="1">
      <c r="A241" s="149"/>
      <c r="B241" s="168"/>
      <c r="C241" s="149"/>
      <c r="D241" s="149"/>
      <c r="E241" s="168"/>
      <c r="F241" s="149"/>
      <c r="G241" s="149"/>
      <c r="H241" s="149"/>
      <c r="I241" s="149"/>
      <c r="J241" s="149"/>
      <c r="K241" s="149"/>
      <c r="L241" s="149"/>
      <c r="M241" s="149"/>
      <c r="N241" s="149"/>
      <c r="O241" s="149"/>
      <c r="P241" s="149"/>
      <c r="Q241" s="149"/>
      <c r="R241" s="149"/>
      <c r="S241" s="149"/>
      <c r="T241" s="149"/>
      <c r="U241" s="149"/>
      <c r="V241" s="149"/>
      <c r="W241" s="149"/>
      <c r="X241" s="149"/>
      <c r="Y241" s="149"/>
      <c r="Z241" s="149"/>
    </row>
    <row r="242" ht="14.25" customHeight="1">
      <c r="A242" s="149"/>
      <c r="B242" s="168"/>
      <c r="C242" s="149"/>
      <c r="D242" s="149"/>
      <c r="E242" s="168"/>
      <c r="F242" s="149"/>
      <c r="G242" s="149"/>
      <c r="H242" s="149"/>
      <c r="I242" s="149"/>
      <c r="J242" s="149"/>
      <c r="K242" s="149"/>
      <c r="L242" s="149"/>
      <c r="M242" s="149"/>
      <c r="N242" s="149"/>
      <c r="O242" s="149"/>
      <c r="P242" s="149"/>
      <c r="Q242" s="149"/>
      <c r="R242" s="149"/>
      <c r="S242" s="149"/>
      <c r="T242" s="149"/>
      <c r="U242" s="149"/>
      <c r="V242" s="149"/>
      <c r="W242" s="149"/>
      <c r="X242" s="149"/>
      <c r="Y242" s="149"/>
      <c r="Z242" s="149"/>
    </row>
    <row r="243" ht="14.25" customHeight="1">
      <c r="A243" s="149"/>
      <c r="B243" s="168"/>
      <c r="C243" s="149"/>
      <c r="D243" s="149"/>
      <c r="E243" s="168"/>
      <c r="F243" s="149"/>
      <c r="G243" s="149"/>
      <c r="H243" s="149"/>
      <c r="I243" s="149"/>
      <c r="J243" s="149"/>
      <c r="K243" s="149"/>
      <c r="L243" s="149"/>
      <c r="M243" s="149"/>
      <c r="N243" s="149"/>
      <c r="O243" s="149"/>
      <c r="P243" s="149"/>
      <c r="Q243" s="149"/>
      <c r="R243" s="149"/>
      <c r="S243" s="149"/>
      <c r="T243" s="149"/>
      <c r="U243" s="149"/>
      <c r="V243" s="149"/>
      <c r="W243" s="149"/>
      <c r="X243" s="149"/>
      <c r="Y243" s="149"/>
      <c r="Z243" s="149"/>
    </row>
    <row r="244" ht="14.25" customHeight="1">
      <c r="A244" s="149"/>
      <c r="B244" s="168"/>
      <c r="C244" s="149"/>
      <c r="D244" s="149"/>
      <c r="E244" s="168"/>
      <c r="F244" s="149"/>
      <c r="G244" s="149"/>
      <c r="H244" s="149"/>
      <c r="I244" s="149"/>
      <c r="J244" s="149"/>
      <c r="K244" s="149"/>
      <c r="L244" s="149"/>
      <c r="M244" s="149"/>
      <c r="N244" s="149"/>
      <c r="O244" s="149"/>
      <c r="P244" s="149"/>
      <c r="Q244" s="149"/>
      <c r="R244" s="149"/>
      <c r="S244" s="149"/>
      <c r="T244" s="149"/>
      <c r="U244" s="149"/>
      <c r="V244" s="149"/>
      <c r="W244" s="149"/>
      <c r="X244" s="149"/>
      <c r="Y244" s="149"/>
      <c r="Z244" s="149"/>
    </row>
    <row r="245" ht="14.25" customHeight="1">
      <c r="A245" s="149"/>
      <c r="B245" s="168"/>
      <c r="C245" s="149"/>
      <c r="D245" s="149"/>
      <c r="E245" s="168"/>
      <c r="F245" s="149"/>
      <c r="G245" s="149"/>
      <c r="H245" s="149"/>
      <c r="I245" s="149"/>
      <c r="J245" s="149"/>
      <c r="K245" s="149"/>
      <c r="L245" s="149"/>
      <c r="M245" s="149"/>
      <c r="N245" s="149"/>
      <c r="O245" s="149"/>
      <c r="P245" s="149"/>
      <c r="Q245" s="149"/>
      <c r="R245" s="149"/>
      <c r="S245" s="149"/>
      <c r="T245" s="149"/>
      <c r="U245" s="149"/>
      <c r="V245" s="149"/>
      <c r="W245" s="149"/>
      <c r="X245" s="149"/>
      <c r="Y245" s="149"/>
      <c r="Z245" s="149"/>
    </row>
    <row r="246" ht="14.25" customHeight="1">
      <c r="A246" s="149"/>
      <c r="B246" s="168"/>
      <c r="C246" s="149"/>
      <c r="D246" s="149"/>
      <c r="E246" s="168"/>
      <c r="F246" s="149"/>
      <c r="G246" s="149"/>
      <c r="H246" s="149"/>
      <c r="I246" s="149"/>
      <c r="J246" s="149"/>
      <c r="K246" s="149"/>
      <c r="L246" s="149"/>
      <c r="M246" s="149"/>
      <c r="N246" s="149"/>
      <c r="O246" s="149"/>
      <c r="P246" s="149"/>
      <c r="Q246" s="149"/>
      <c r="R246" s="149"/>
      <c r="S246" s="149"/>
      <c r="T246" s="149"/>
      <c r="U246" s="149"/>
      <c r="V246" s="149"/>
      <c r="W246" s="149"/>
      <c r="X246" s="149"/>
      <c r="Y246" s="149"/>
      <c r="Z246" s="149"/>
    </row>
    <row r="247" ht="14.25" customHeight="1">
      <c r="A247" s="149"/>
      <c r="B247" s="168"/>
      <c r="C247" s="149"/>
      <c r="D247" s="149"/>
      <c r="E247" s="168"/>
      <c r="F247" s="149"/>
      <c r="G247" s="149"/>
      <c r="H247" s="149"/>
      <c r="I247" s="149"/>
      <c r="J247" s="149"/>
      <c r="K247" s="149"/>
      <c r="L247" s="149"/>
      <c r="M247" s="149"/>
      <c r="N247" s="149"/>
      <c r="O247" s="149"/>
      <c r="P247" s="149"/>
      <c r="Q247" s="149"/>
      <c r="R247" s="149"/>
      <c r="S247" s="149"/>
      <c r="T247" s="149"/>
      <c r="U247" s="149"/>
      <c r="V247" s="149"/>
      <c r="W247" s="149"/>
      <c r="X247" s="149"/>
      <c r="Y247" s="149"/>
      <c r="Z247" s="149"/>
    </row>
    <row r="248" ht="14.25" customHeight="1">
      <c r="A248" s="149"/>
      <c r="B248" s="168"/>
      <c r="C248" s="149"/>
      <c r="D248" s="149"/>
      <c r="E248" s="168"/>
      <c r="F248" s="149"/>
      <c r="G248" s="149"/>
      <c r="H248" s="149"/>
      <c r="I248" s="149"/>
      <c r="J248" s="149"/>
      <c r="K248" s="149"/>
      <c r="L248" s="149"/>
      <c r="M248" s="149"/>
      <c r="N248" s="149"/>
      <c r="O248" s="149"/>
      <c r="P248" s="149"/>
      <c r="Q248" s="149"/>
      <c r="R248" s="149"/>
      <c r="S248" s="149"/>
      <c r="T248" s="149"/>
      <c r="U248" s="149"/>
      <c r="V248" s="149"/>
      <c r="W248" s="149"/>
      <c r="X248" s="149"/>
      <c r="Y248" s="149"/>
      <c r="Z248" s="149"/>
    </row>
    <row r="249" ht="14.25" customHeight="1">
      <c r="A249" s="149"/>
      <c r="B249" s="168"/>
      <c r="C249" s="149"/>
      <c r="D249" s="149"/>
      <c r="E249" s="168"/>
      <c r="F249" s="149"/>
      <c r="G249" s="149"/>
      <c r="H249" s="149"/>
      <c r="I249" s="149"/>
      <c r="J249" s="149"/>
      <c r="K249" s="149"/>
      <c r="L249" s="149"/>
      <c r="M249" s="149"/>
      <c r="N249" s="149"/>
      <c r="O249" s="149"/>
      <c r="P249" s="149"/>
      <c r="Q249" s="149"/>
      <c r="R249" s="149"/>
      <c r="S249" s="149"/>
      <c r="T249" s="149"/>
      <c r="U249" s="149"/>
      <c r="V249" s="149"/>
      <c r="W249" s="149"/>
      <c r="X249" s="149"/>
      <c r="Y249" s="149"/>
      <c r="Z249" s="149"/>
    </row>
    <row r="250" ht="14.25" customHeight="1">
      <c r="A250" s="149"/>
      <c r="B250" s="168"/>
      <c r="C250" s="149"/>
      <c r="D250" s="149"/>
      <c r="E250" s="168"/>
      <c r="F250" s="149"/>
      <c r="G250" s="149"/>
      <c r="H250" s="149"/>
      <c r="I250" s="149"/>
      <c r="J250" s="149"/>
      <c r="K250" s="149"/>
      <c r="L250" s="149"/>
      <c r="M250" s="149"/>
      <c r="N250" s="149"/>
      <c r="O250" s="149"/>
      <c r="P250" s="149"/>
      <c r="Q250" s="149"/>
      <c r="R250" s="149"/>
      <c r="S250" s="149"/>
      <c r="T250" s="149"/>
      <c r="U250" s="149"/>
      <c r="V250" s="149"/>
      <c r="W250" s="149"/>
      <c r="X250" s="149"/>
      <c r="Y250" s="149"/>
      <c r="Z250" s="149"/>
    </row>
    <row r="251" ht="14.25" customHeight="1">
      <c r="A251" s="149"/>
      <c r="B251" s="168"/>
      <c r="C251" s="149"/>
      <c r="D251" s="149"/>
      <c r="E251" s="168"/>
      <c r="F251" s="149"/>
      <c r="G251" s="149"/>
      <c r="H251" s="149"/>
      <c r="I251" s="149"/>
      <c r="J251" s="149"/>
      <c r="K251" s="149"/>
      <c r="L251" s="149"/>
      <c r="M251" s="149"/>
      <c r="N251" s="149"/>
      <c r="O251" s="149"/>
      <c r="P251" s="149"/>
      <c r="Q251" s="149"/>
      <c r="R251" s="149"/>
      <c r="S251" s="149"/>
      <c r="T251" s="149"/>
      <c r="U251" s="149"/>
      <c r="V251" s="149"/>
      <c r="W251" s="149"/>
      <c r="X251" s="149"/>
      <c r="Y251" s="149"/>
      <c r="Z251" s="149"/>
    </row>
    <row r="252" ht="14.25" customHeight="1">
      <c r="A252" s="149"/>
      <c r="B252" s="168"/>
      <c r="C252" s="149"/>
      <c r="D252" s="149"/>
      <c r="E252" s="168"/>
      <c r="F252" s="149"/>
      <c r="G252" s="149"/>
      <c r="H252" s="149"/>
      <c r="I252" s="149"/>
      <c r="J252" s="149"/>
      <c r="K252" s="149"/>
      <c r="L252" s="149"/>
      <c r="M252" s="149"/>
      <c r="N252" s="149"/>
      <c r="O252" s="149"/>
      <c r="P252" s="149"/>
      <c r="Q252" s="149"/>
      <c r="R252" s="149"/>
      <c r="S252" s="149"/>
      <c r="T252" s="149"/>
      <c r="U252" s="149"/>
      <c r="V252" s="149"/>
      <c r="W252" s="149"/>
      <c r="X252" s="149"/>
      <c r="Y252" s="149"/>
      <c r="Z252" s="149"/>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B1:C1"/>
    <mergeCell ref="B7:C7"/>
    <mergeCell ref="B21:C21"/>
    <mergeCell ref="B28:C28"/>
    <mergeCell ref="B34:C34"/>
  </mergeCells>
  <printOptions/>
  <pageMargins bottom="0.75" footer="0.0" header="0.0" left="0.7" right="0.7" top="0.75"/>
  <pageSetup orientation="landscape"/>
  <drawing r:id="rId1"/>
</worksheet>
</file>